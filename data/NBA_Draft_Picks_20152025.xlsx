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limizhiritsky/Downloads/"/>
    </mc:Choice>
  </mc:AlternateContent>
  <xr:revisionPtr revIDLastSave="0" documentId="8_{D004F527-CF48-A349-8004-8245E902F91F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Draft Picks 2015-2025" sheetId="1" r:id="rId1"/>
    <sheet name="Legend" sheetId="2" r:id="rId2"/>
    <sheet name="Stat Analysis" sheetId="3" r:id="rId3"/>
    <sheet name="Char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4" l="1"/>
  <c r="J37" i="4"/>
  <c r="J36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N41" i="3" a="1"/>
  <c r="N40" i="3" a="1"/>
  <c r="N39" i="3" a="1"/>
  <c r="N38" i="3" a="1"/>
  <c r="N37" i="3" a="1"/>
  <c r="N36" i="3" a="1"/>
  <c r="N35" i="3" a="1"/>
  <c r="N34" i="3" a="1"/>
  <c r="N33" i="3" a="1"/>
  <c r="N32" i="3" a="1"/>
  <c r="N31" i="3" a="1"/>
  <c r="N30" i="3" a="1"/>
  <c r="N29" i="3" a="1"/>
  <c r="N28" i="3" a="1"/>
  <c r="N27" i="3" a="1"/>
  <c r="N26" i="3" a="1"/>
  <c r="N25" i="3" a="1"/>
  <c r="N24" i="3" a="1"/>
  <c r="N23" i="3" a="1"/>
  <c r="N22" i="3" a="1"/>
  <c r="N21" i="3" a="1"/>
  <c r="N20" i="3" a="1"/>
  <c r="N19" i="3" a="1"/>
  <c r="N18" i="3" a="1"/>
  <c r="N17" i="3" a="1"/>
  <c r="N16" i="3" a="1"/>
  <c r="N15" i="3" a="1"/>
  <c r="N14" i="3" a="1"/>
  <c r="N13" i="3" a="1"/>
  <c r="N12" i="3" a="1"/>
  <c r="K12" i="3" a="1"/>
  <c r="K2" i="4" s="1"/>
  <c r="E2" i="4"/>
  <c r="F2" i="4"/>
  <c r="E3" i="4"/>
  <c r="F3" i="4"/>
  <c r="E4" i="4"/>
  <c r="F4" i="4"/>
  <c r="F5" i="4"/>
  <c r="E5" i="4"/>
  <c r="E6" i="4"/>
  <c r="F6" i="4"/>
  <c r="F7" i="4"/>
  <c r="E7" i="4"/>
  <c r="D7" i="4"/>
  <c r="D6" i="4"/>
  <c r="D5" i="4"/>
  <c r="D4" i="4"/>
  <c r="D2" i="4"/>
  <c r="D3" i="4"/>
  <c r="K38" i="4"/>
  <c r="K36" i="4"/>
  <c r="K35" i="4"/>
  <c r="K34" i="4"/>
  <c r="J38" i="4"/>
  <c r="J35" i="4"/>
  <c r="J34" i="4"/>
  <c r="K3" i="4"/>
  <c r="K5" i="4"/>
  <c r="K9" i="4"/>
  <c r="K10" i="4"/>
  <c r="K11" i="4"/>
  <c r="K12" i="4"/>
  <c r="K14" i="4"/>
  <c r="K15" i="4"/>
  <c r="K20" i="4"/>
  <c r="K22" i="4"/>
  <c r="K23" i="4"/>
  <c r="K24" i="4"/>
  <c r="K25" i="4"/>
  <c r="K27" i="4"/>
  <c r="K28" i="4"/>
  <c r="K29" i="4"/>
  <c r="K30" i="4"/>
  <c r="M40" i="3" a="1"/>
  <c r="L40" i="3" a="1"/>
  <c r="K40" i="3" a="1"/>
  <c r="M39" i="3" a="1"/>
  <c r="L39" i="3" a="1"/>
  <c r="K39" i="3" a="1"/>
  <c r="M38" i="3" a="1"/>
  <c r="L38" i="3" a="1"/>
  <c r="K38" i="3" a="1"/>
  <c r="M37" i="3" a="1"/>
  <c r="L37" i="3" a="1"/>
  <c r="K37" i="3" a="1"/>
  <c r="M35" i="3" a="1"/>
  <c r="L35" i="3" a="1"/>
  <c r="K35" i="3" a="1"/>
  <c r="M34" i="3" a="1"/>
  <c r="L34" i="3" a="1"/>
  <c r="K34" i="3" a="1"/>
  <c r="M33" i="3" a="1"/>
  <c r="L33" i="3" a="1"/>
  <c r="K33" i="3" a="1"/>
  <c r="M32" i="3" a="1"/>
  <c r="L32" i="3" a="1"/>
  <c r="K32" i="3" a="1"/>
  <c r="L31" i="3" a="1"/>
  <c r="M30" i="3" a="1"/>
  <c r="L30" i="3" a="1"/>
  <c r="K30" i="3" a="1"/>
  <c r="K29" i="3" a="1"/>
  <c r="K19" i="4" s="1"/>
  <c r="M25" i="3" a="1"/>
  <c r="L25" i="3" a="1"/>
  <c r="K25" i="3" a="1"/>
  <c r="M24" i="3" a="1"/>
  <c r="L24" i="3" a="1"/>
  <c r="K24" i="3" a="1"/>
  <c r="M22" i="3" a="1"/>
  <c r="L22" i="3" a="1"/>
  <c r="K22" i="3" a="1"/>
  <c r="M21" i="3" a="1"/>
  <c r="L21" i="3" a="1"/>
  <c r="K21" i="3" a="1"/>
  <c r="M20" i="3" a="1"/>
  <c r="L20" i="3" a="1"/>
  <c r="K20" i="3" a="1"/>
  <c r="M19" i="3" a="1"/>
  <c r="L19" i="3" a="1"/>
  <c r="K19" i="3" a="1"/>
  <c r="M17" i="3" a="1"/>
  <c r="K17" i="3" a="1"/>
  <c r="K7" i="4" s="1"/>
  <c r="M15" i="3" a="1"/>
  <c r="L15" i="3" a="1"/>
  <c r="K15" i="3" a="1"/>
  <c r="M13" i="3" a="1"/>
  <c r="K13" i="3" a="1"/>
  <c r="M12" i="3" a="1"/>
  <c r="L12" i="3" a="1"/>
  <c r="J40" i="3"/>
  <c r="J39" i="3"/>
  <c r="J38" i="3"/>
  <c r="J37" i="3"/>
  <c r="J35" i="3"/>
  <c r="J34" i="3"/>
  <c r="J33" i="3"/>
  <c r="J32" i="3"/>
  <c r="J30" i="3"/>
  <c r="J26" i="3"/>
  <c r="J25" i="3"/>
  <c r="J24" i="3"/>
  <c r="J22" i="3"/>
  <c r="J21" i="3"/>
  <c r="J20" i="3"/>
  <c r="J19" i="3"/>
  <c r="J17" i="3"/>
  <c r="J15" i="3"/>
  <c r="J12" i="3"/>
  <c r="G4" i="3" a="1"/>
  <c r="G5" i="3" a="1"/>
  <c r="G6" i="3" a="1"/>
  <c r="G7" i="3" a="1"/>
  <c r="G8" i="3" a="1"/>
  <c r="G9" i="3" a="1"/>
  <c r="G10" i="3" a="1"/>
  <c r="G11" i="3" a="1"/>
  <c r="G12" i="3" a="1"/>
  <c r="G13" i="3" a="1"/>
  <c r="G14" i="3" a="1"/>
  <c r="G15" i="3" a="1"/>
  <c r="G16" i="3" a="1"/>
  <c r="G17" i="3" a="1"/>
  <c r="G18" i="3" a="1"/>
  <c r="G19" i="3" a="1"/>
  <c r="G20" i="3" a="1"/>
  <c r="G21" i="3" a="1"/>
  <c r="G22" i="3" a="1"/>
  <c r="L13" i="3" s="1" a="1"/>
  <c r="G23" i="3" a="1"/>
  <c r="G24" i="3" a="1"/>
  <c r="G25" i="3" a="1"/>
  <c r="G26" i="3" a="1"/>
  <c r="G27" i="3" a="1"/>
  <c r="G28" i="3" a="1"/>
  <c r="G29" i="3" a="1"/>
  <c r="G30" i="3" a="1"/>
  <c r="G31" i="3" a="1"/>
  <c r="G32" i="3" a="1"/>
  <c r="G33" i="3" a="1"/>
  <c r="G34" i="3" a="1"/>
  <c r="G35" i="3" a="1"/>
  <c r="G36" i="3" a="1"/>
  <c r="G37" i="3" a="1"/>
  <c r="G38" i="3" a="1"/>
  <c r="G39" i="3" a="1"/>
  <c r="G40" i="3" a="1"/>
  <c r="G41" i="3" a="1"/>
  <c r="G42" i="3" a="1"/>
  <c r="G43" i="3" a="1"/>
  <c r="G44" i="3" a="1"/>
  <c r="G45" i="3" a="1"/>
  <c r="G46" i="3" a="1"/>
  <c r="G47" i="3" a="1"/>
  <c r="G48" i="3" a="1"/>
  <c r="G49" i="3" a="1"/>
  <c r="G50" i="3" a="1"/>
  <c r="G51" i="3" a="1"/>
  <c r="G52" i="3" a="1"/>
  <c r="G53" i="3" a="1"/>
  <c r="G54" i="3" a="1"/>
  <c r="G55" i="3" a="1"/>
  <c r="G56" i="3" a="1"/>
  <c r="G57" i="3" a="1"/>
  <c r="G58" i="3" a="1"/>
  <c r="G59" i="3" a="1"/>
  <c r="G60" i="3" a="1"/>
  <c r="G61" i="3" a="1"/>
  <c r="G62" i="3" a="1"/>
  <c r="G63" i="3" a="1"/>
  <c r="G64" i="3" a="1"/>
  <c r="G65" i="3" a="1"/>
  <c r="G66" i="3" a="1"/>
  <c r="L17" i="3" s="1" a="1"/>
  <c r="G67" i="3" a="1"/>
  <c r="G68" i="3" a="1"/>
  <c r="G69" i="3" a="1"/>
  <c r="G70" i="3" a="1"/>
  <c r="G71" i="3" a="1"/>
  <c r="G72" i="3" a="1"/>
  <c r="G73" i="3" a="1"/>
  <c r="G74" i="3" a="1"/>
  <c r="G75" i="3" a="1"/>
  <c r="G76" i="3" a="1"/>
  <c r="M18" i="3" s="1" a="1"/>
  <c r="G77" i="3" a="1"/>
  <c r="G78" i="3" a="1"/>
  <c r="G79" i="3" a="1"/>
  <c r="G80" i="3" a="1"/>
  <c r="G81" i="3" a="1"/>
  <c r="G82" i="3" a="1"/>
  <c r="G83" i="3" a="1"/>
  <c r="G84" i="3" a="1"/>
  <c r="G85" i="3" a="1"/>
  <c r="G86" i="3" a="1"/>
  <c r="G87" i="3" a="1"/>
  <c r="G88" i="3" a="1"/>
  <c r="G89" i="3" a="1"/>
  <c r="G90" i="3" a="1"/>
  <c r="G91" i="3" a="1"/>
  <c r="G92" i="3" a="1"/>
  <c r="G93" i="3" a="1"/>
  <c r="G94" i="3" a="1"/>
  <c r="G95" i="3" a="1"/>
  <c r="G96" i="3" a="1"/>
  <c r="G97" i="3" a="1"/>
  <c r="G98" i="3" a="1"/>
  <c r="G99" i="3" a="1"/>
  <c r="G100" i="3" a="1"/>
  <c r="G101" i="3" a="1"/>
  <c r="G102" i="3" a="1"/>
  <c r="G103" i="3" a="1"/>
  <c r="G104" i="3" a="1"/>
  <c r="G105" i="3" a="1"/>
  <c r="G106" i="3" a="1"/>
  <c r="G107" i="3" a="1"/>
  <c r="G108" i="3" a="1"/>
  <c r="G109" i="3" a="1"/>
  <c r="G110" i="3" a="1"/>
  <c r="G111" i="3" a="1"/>
  <c r="G112" i="3" a="1"/>
  <c r="G113" i="3" a="1"/>
  <c r="G114" i="3" a="1"/>
  <c r="G115" i="3" a="1"/>
  <c r="G116" i="3" a="1"/>
  <c r="G117" i="3" a="1"/>
  <c r="G118" i="3" a="1"/>
  <c r="G119" i="3" a="1"/>
  <c r="G120" i="3" a="1"/>
  <c r="G121" i="3" a="1"/>
  <c r="G122" i="3" a="1"/>
  <c r="G123" i="3" a="1"/>
  <c r="G124" i="3" a="1"/>
  <c r="G125" i="3" a="1"/>
  <c r="G126" i="3" a="1"/>
  <c r="G127" i="3" a="1"/>
  <c r="G128" i="3" a="1"/>
  <c r="G129" i="3" a="1"/>
  <c r="G130" i="3" a="1"/>
  <c r="G131" i="3" a="1"/>
  <c r="G132" i="3" a="1"/>
  <c r="G133" i="3" a="1"/>
  <c r="G134" i="3" a="1"/>
  <c r="G135" i="3" a="1"/>
  <c r="G136" i="3" a="1"/>
  <c r="G137" i="3" a="1"/>
  <c r="G138" i="3" a="1"/>
  <c r="G139" i="3" a="1"/>
  <c r="G140" i="3" a="1"/>
  <c r="G141" i="3" a="1"/>
  <c r="G142" i="3" a="1"/>
  <c r="G143" i="3" a="1"/>
  <c r="G144" i="3" a="1"/>
  <c r="G145" i="3" a="1"/>
  <c r="G146" i="3" a="1"/>
  <c r="G147" i="3" a="1"/>
  <c r="G148" i="3" a="1"/>
  <c r="G149" i="3" a="1"/>
  <c r="G150" i="3" a="1"/>
  <c r="G151" i="3" a="1"/>
  <c r="G152" i="3" a="1"/>
  <c r="G153" i="3" a="1"/>
  <c r="G154" i="3" a="1"/>
  <c r="G155" i="3" a="1"/>
  <c r="G156" i="3" a="1"/>
  <c r="G157" i="3" a="1"/>
  <c r="G158" i="3" a="1"/>
  <c r="M26" i="3" s="1" a="1"/>
  <c r="G159" i="3" a="1"/>
  <c r="G160" i="3" a="1"/>
  <c r="G161" i="3" a="1"/>
  <c r="G162" i="3" a="1"/>
  <c r="G163" i="3" a="1"/>
  <c r="G164" i="3" a="1"/>
  <c r="G165" i="3" a="1"/>
  <c r="G166" i="3" a="1"/>
  <c r="G167" i="3" a="1"/>
  <c r="G168" i="3" a="1"/>
  <c r="G169" i="3" a="1"/>
  <c r="G170" i="3" a="1"/>
  <c r="G171" i="3" a="1"/>
  <c r="G172" i="3" a="1"/>
  <c r="G173" i="3" a="1"/>
  <c r="G174" i="3" a="1"/>
  <c r="G175" i="3" a="1"/>
  <c r="G176" i="3" a="1"/>
  <c r="G177" i="3" a="1"/>
  <c r="G178" i="3" a="1"/>
  <c r="G179" i="3" a="1"/>
  <c r="G180" i="3" a="1"/>
  <c r="G181" i="3" a="1"/>
  <c r="G182" i="3" a="1"/>
  <c r="G183" i="3" a="1"/>
  <c r="G184" i="3" a="1"/>
  <c r="G185" i="3" a="1"/>
  <c r="G186" i="3" a="1"/>
  <c r="G187" i="3" a="1"/>
  <c r="G188" i="3" a="1"/>
  <c r="G189" i="3" a="1"/>
  <c r="G190" i="3" a="1"/>
  <c r="G191" i="3" a="1"/>
  <c r="G192" i="3" a="1"/>
  <c r="G193" i="3" a="1"/>
  <c r="G194" i="3" a="1"/>
  <c r="G195" i="3" a="1"/>
  <c r="G196" i="3" a="1"/>
  <c r="G197" i="3" a="1"/>
  <c r="L29" i="3" s="1" a="1"/>
  <c r="G198" i="3" a="1"/>
  <c r="G199" i="3" a="1"/>
  <c r="G200" i="3" a="1"/>
  <c r="G201" i="3" a="1"/>
  <c r="G202" i="3" a="1"/>
  <c r="G203" i="3" a="1"/>
  <c r="G204" i="3" a="1"/>
  <c r="G205" i="3" a="1"/>
  <c r="G206" i="3" a="1"/>
  <c r="G207" i="3" a="1"/>
  <c r="G208" i="3" a="1"/>
  <c r="G209" i="3" a="1"/>
  <c r="G210" i="3" a="1"/>
  <c r="G211" i="3" a="1"/>
  <c r="G212" i="3" a="1"/>
  <c r="G213" i="3" a="1"/>
  <c r="G214" i="3" a="1"/>
  <c r="G215" i="3" a="1"/>
  <c r="G216" i="3" a="1"/>
  <c r="G217" i="3" a="1"/>
  <c r="G218" i="3" a="1"/>
  <c r="G219" i="3" a="1"/>
  <c r="M31" i="3" s="1" a="1"/>
  <c r="G220" i="3" a="1"/>
  <c r="G221" i="3" a="1"/>
  <c r="G222" i="3" a="1"/>
  <c r="G223" i="3" a="1"/>
  <c r="G224" i="3" a="1"/>
  <c r="G225" i="3" a="1"/>
  <c r="G226" i="3" a="1"/>
  <c r="G227" i="3" a="1"/>
  <c r="G228" i="3" a="1"/>
  <c r="G229" i="3" a="1"/>
  <c r="G230" i="3" a="1"/>
  <c r="G231" i="3" a="1"/>
  <c r="G232" i="3" a="1"/>
  <c r="G233" i="3" a="1"/>
  <c r="G234" i="3" a="1"/>
  <c r="G235" i="3" a="1"/>
  <c r="G236" i="3" a="1"/>
  <c r="G237" i="3" a="1"/>
  <c r="G238" i="3" a="1"/>
  <c r="G239" i="3" a="1"/>
  <c r="G240" i="3" a="1"/>
  <c r="G241" i="3" a="1"/>
  <c r="G242" i="3" a="1"/>
  <c r="G243" i="3" a="1"/>
  <c r="G244" i="3" a="1"/>
  <c r="G245" i="3" a="1"/>
  <c r="G246" i="3" a="1"/>
  <c r="G247" i="3" a="1"/>
  <c r="G248" i="3" a="1"/>
  <c r="G249" i="3" a="1"/>
  <c r="G250" i="3" a="1"/>
  <c r="G251" i="3" a="1"/>
  <c r="G252" i="3" a="1"/>
  <c r="G253" i="3" a="1"/>
  <c r="G254" i="3" a="1"/>
  <c r="G255" i="3" a="1"/>
  <c r="G256" i="3" a="1"/>
  <c r="G257" i="3" a="1"/>
  <c r="G258" i="3" a="1"/>
  <c r="G259" i="3" a="1"/>
  <c r="G260" i="3" a="1"/>
  <c r="G261" i="3" a="1"/>
  <c r="G262" i="3" a="1"/>
  <c r="G263" i="3" a="1"/>
  <c r="G264" i="3" a="1"/>
  <c r="G265" i="3" a="1"/>
  <c r="G266" i="3" a="1"/>
  <c r="G267" i="3" a="1"/>
  <c r="G268" i="3" a="1"/>
  <c r="G269" i="3" a="1"/>
  <c r="G270" i="3" a="1"/>
  <c r="G271" i="3" a="1"/>
  <c r="G272" i="3" a="1"/>
  <c r="G273" i="3" a="1"/>
  <c r="G274" i="3" a="1"/>
  <c r="G275" i="3" a="1"/>
  <c r="G276" i="3" a="1"/>
  <c r="G277" i="3" a="1"/>
  <c r="G278" i="3" a="1"/>
  <c r="G279" i="3" a="1"/>
  <c r="G280" i="3" a="1"/>
  <c r="G281" i="3" a="1"/>
  <c r="G282" i="3" a="1"/>
  <c r="G283" i="3" a="1"/>
  <c r="G284" i="3" a="1"/>
  <c r="G285" i="3" a="1"/>
  <c r="G286" i="3" a="1"/>
  <c r="G287" i="3" a="1"/>
  <c r="G288" i="3" a="1"/>
  <c r="G289" i="3" a="1"/>
  <c r="G290" i="3" a="1"/>
  <c r="G291" i="3" a="1"/>
  <c r="G292" i="3" a="1"/>
  <c r="G293" i="3" a="1"/>
  <c r="G294" i="3" a="1"/>
  <c r="G295" i="3" a="1"/>
  <c r="G296" i="3" a="1"/>
  <c r="G297" i="3" a="1"/>
  <c r="G298" i="3" a="1"/>
  <c r="G299" i="3" a="1"/>
  <c r="G300" i="3" a="1"/>
  <c r="G301" i="3" a="1"/>
  <c r="G302" i="3" a="1"/>
  <c r="G303" i="3" a="1"/>
  <c r="G304" i="3" a="1"/>
  <c r="G305" i="3" a="1"/>
  <c r="G306" i="3" a="1"/>
  <c r="G307" i="3" a="1"/>
  <c r="G308" i="3" a="1"/>
  <c r="G309" i="3" a="1"/>
  <c r="G310" i="3" a="1"/>
  <c r="G311" i="3" a="1"/>
  <c r="G312" i="3" a="1"/>
  <c r="G313" i="3" a="1"/>
  <c r="G314" i="3" a="1"/>
  <c r="G315" i="3" a="1"/>
  <c r="G316" i="3" a="1"/>
  <c r="G317" i="3" a="1"/>
  <c r="G318" i="3" a="1"/>
  <c r="G319" i="3" a="1"/>
  <c r="G320" i="3" a="1"/>
  <c r="G321" i="3" a="1"/>
  <c r="G322" i="3" a="1"/>
  <c r="G323" i="3" a="1"/>
  <c r="G324" i="3" a="1"/>
  <c r="G325" i="3" a="1"/>
  <c r="G326" i="3" a="1"/>
  <c r="G327" i="3" a="1"/>
  <c r="G328" i="3" a="1"/>
  <c r="G329" i="3" a="1"/>
  <c r="G330" i="3" a="1"/>
  <c r="G331" i="3" a="1"/>
  <c r="G332" i="3" a="1"/>
  <c r="G3" i="3" a="1"/>
  <c r="T7" i="3" l="1"/>
  <c r="T8" i="3" s="1"/>
  <c r="C6" i="4" s="1"/>
  <c r="L36" i="3" a="1"/>
  <c r="T3" i="3"/>
  <c r="T4" i="3" a="1"/>
  <c r="B6" i="4" s="1"/>
  <c r="M36" i="3" a="1"/>
  <c r="T5" i="3" a="1"/>
  <c r="K36" i="3" a="1"/>
  <c r="K26" i="4" s="1"/>
  <c r="J36" i="3"/>
  <c r="T6" i="3" a="1"/>
  <c r="J31" i="3"/>
  <c r="K31" i="3" a="1"/>
  <c r="K21" i="4" s="1"/>
  <c r="M29" i="3" a="1"/>
  <c r="J29" i="3"/>
  <c r="K26" i="3" a="1"/>
  <c r="K16" i="4" s="1"/>
  <c r="L26" i="3" a="1"/>
  <c r="J16" i="3"/>
  <c r="M16" i="3" a="1"/>
  <c r="K16" i="3" a="1"/>
  <c r="K6" i="4" s="1"/>
  <c r="L16" i="3" a="1"/>
  <c r="L14" i="3" a="1"/>
  <c r="L3" i="3"/>
  <c r="M14" i="3" a="1"/>
  <c r="L4" i="3" a="1"/>
  <c r="B2" i="4" s="1"/>
  <c r="J14" i="3"/>
  <c r="K14" i="3" a="1"/>
  <c r="K4" i="4" s="1"/>
  <c r="L6" i="3" a="1"/>
  <c r="L5" i="3" a="1"/>
  <c r="L7" i="3"/>
  <c r="L8" i="3" s="1"/>
  <c r="C2" i="4" s="1"/>
  <c r="J13" i="3"/>
  <c r="M27" i="3" a="1"/>
  <c r="L27" i="3" a="1"/>
  <c r="K27" i="3" a="1"/>
  <c r="K17" i="4" s="1"/>
  <c r="J27" i="3"/>
  <c r="R6" i="3" a="1"/>
  <c r="K28" i="3" a="1"/>
  <c r="K18" i="4" s="1"/>
  <c r="R5" i="3" a="1"/>
  <c r="J28" i="3"/>
  <c r="R4" i="3" a="1"/>
  <c r="B5" i="4" s="1"/>
  <c r="R3" i="3"/>
  <c r="M28" i="3" a="1"/>
  <c r="L28" i="3" a="1"/>
  <c r="R7" i="3"/>
  <c r="R8" i="3" s="1"/>
  <c r="C5" i="4" s="1"/>
  <c r="V4" i="3" a="1"/>
  <c r="B7" i="4" s="1"/>
  <c r="V3" i="3"/>
  <c r="J41" i="3"/>
  <c r="K41" i="3" a="1"/>
  <c r="K31" i="4" s="1"/>
  <c r="V5" i="3" a="1"/>
  <c r="L41" i="3" a="1"/>
  <c r="V6" i="3" a="1"/>
  <c r="M41" i="3" a="1"/>
  <c r="V7" i="3"/>
  <c r="V8" i="3" s="1"/>
  <c r="C7" i="4" s="1"/>
  <c r="N6" i="3" a="1"/>
  <c r="N3" i="3"/>
  <c r="N5" i="3" a="1"/>
  <c r="K18" i="3" a="1"/>
  <c r="K8" i="4" s="1"/>
  <c r="N7" i="3"/>
  <c r="N8" i="3" s="1"/>
  <c r="C3" i="4" s="1"/>
  <c r="J18" i="3"/>
  <c r="N4" i="3" a="1"/>
  <c r="B3" i="4" s="1"/>
  <c r="L18" i="3" a="1"/>
  <c r="P4" i="3" a="1"/>
  <c r="B4" i="4" s="1"/>
  <c r="P6" i="3" a="1"/>
  <c r="P5" i="3" a="1"/>
  <c r="J23" i="3"/>
  <c r="P3" i="3"/>
  <c r="P7" i="3"/>
  <c r="P8" i="3" s="1"/>
  <c r="C4" i="4" s="1"/>
  <c r="J7" i="3"/>
  <c r="J8" i="3" s="1"/>
  <c r="J6" i="3" a="1"/>
  <c r="M23" i="3" a="1"/>
  <c r="J5" i="3" a="1"/>
  <c r="L23" i="3" a="1"/>
  <c r="J4" i="3" a="1"/>
  <c r="K23" i="3" a="1"/>
  <c r="K13" i="4" s="1"/>
  <c r="J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<sst xmlns="http://schemas.openxmlformats.org/spreadsheetml/2006/main" count="2806" uniqueCount="553">
  <si>
    <t>Player-Pick Model</t>
  </si>
  <si>
    <t>Year</t>
  </si>
  <si>
    <t>Pick</t>
  </si>
  <si>
    <t>Team</t>
  </si>
  <si>
    <t>Player</t>
  </si>
  <si>
    <t>College/Country</t>
  </si>
  <si>
    <t>Career Outcome Tier</t>
  </si>
  <si>
    <t>Minnesota Timberwolves</t>
  </si>
  <si>
    <t>Karl-Anthony Towns</t>
  </si>
  <si>
    <t>Kentucky</t>
  </si>
  <si>
    <t>🟩 Superstar</t>
  </si>
  <si>
    <t>Philadelphia 76ers</t>
  </si>
  <si>
    <t>Ben Simmons</t>
  </si>
  <si>
    <t>LSU</t>
  </si>
  <si>
    <t>🟦 Star / All-Star</t>
  </si>
  <si>
    <t>Markelle Fultz</t>
  </si>
  <si>
    <t>Washington</t>
  </si>
  <si>
    <t>🟥 Bust</t>
  </si>
  <si>
    <t>Phoenix Suns</t>
  </si>
  <si>
    <t>Deandre Ayton</t>
  </si>
  <si>
    <t>Arizona</t>
  </si>
  <si>
    <t>🟨 Above-average starter</t>
  </si>
  <si>
    <t>New Orleans Pelicans</t>
  </si>
  <si>
    <t>Zion Williamson</t>
  </si>
  <si>
    <t>Duke</t>
  </si>
  <si>
    <t>Anthony Edwards</t>
  </si>
  <si>
    <t>Georgia</t>
  </si>
  <si>
    <t>Detroit Pistons</t>
  </si>
  <si>
    <t>Cade Cunningham</t>
  </si>
  <si>
    <t>Oklahoma State</t>
  </si>
  <si>
    <t>Orlando Magic</t>
  </si>
  <si>
    <t>Paolo Banchero</t>
  </si>
  <si>
    <t>San Antonio Spurs</t>
  </si>
  <si>
    <t>Victor Wembanyama</t>
  </si>
  <si>
    <t>France</t>
  </si>
  <si>
    <t>Atlanta Hawks</t>
  </si>
  <si>
    <t>Zaccharie Risacher</t>
  </si>
  <si>
    <t>⏳ Too early to tell</t>
  </si>
  <si>
    <t>Dallas Mavericks</t>
  </si>
  <si>
    <t>Cooper Flagg</t>
  </si>
  <si>
    <t>LA Lakers</t>
  </si>
  <si>
    <t>D'Angelo Russell</t>
  </si>
  <si>
    <t>Ohio State</t>
  </si>
  <si>
    <t>Brandon Ingram</t>
  </si>
  <si>
    <t>Lonzo Ball</t>
  </si>
  <si>
    <t>UCLA</t>
  </si>
  <si>
    <t>Sacramento Kings</t>
  </si>
  <si>
    <t>Marvin Bagley III</t>
  </si>
  <si>
    <t>Memphis Grizzlies</t>
  </si>
  <si>
    <t>Ja Morant</t>
  </si>
  <si>
    <t>Murray State</t>
  </si>
  <si>
    <t>Golden State Warriors</t>
  </si>
  <si>
    <t>James Wiseman</t>
  </si>
  <si>
    <t>Memphis</t>
  </si>
  <si>
    <t>Houston Rockets</t>
  </si>
  <si>
    <t>Jalen Green</t>
  </si>
  <si>
    <t>G League Ignite</t>
  </si>
  <si>
    <t>Oklahoma City Thunder</t>
  </si>
  <si>
    <t>Chet Holmgren</t>
  </si>
  <si>
    <t>Gonzaga</t>
  </si>
  <si>
    <t>Charlotte Hornets</t>
  </si>
  <si>
    <t>Brandon Miller</t>
  </si>
  <si>
    <t>Alabama</t>
  </si>
  <si>
    <t>⬛ Contributor / role player</t>
  </si>
  <si>
    <t>Washington Wizards</t>
  </si>
  <si>
    <t>Alex Sarr</t>
  </si>
  <si>
    <t>Dylan Harper</t>
  </si>
  <si>
    <t>Rutgers</t>
  </si>
  <si>
    <t>Jahlil Okafor</t>
  </si>
  <si>
    <t>Boston Celtics</t>
  </si>
  <si>
    <t>Jaylen Brown</t>
  </si>
  <si>
    <t>California</t>
  </si>
  <si>
    <t>Jayson Tatum</t>
  </si>
  <si>
    <t>Luka Doncic</t>
  </si>
  <si>
    <t>Slovenia</t>
  </si>
  <si>
    <t>New York Knicks</t>
  </si>
  <si>
    <t>RJ Barrett</t>
  </si>
  <si>
    <t>LaMelo Ball</t>
  </si>
  <si>
    <t>(none) Australia/prep</t>
  </si>
  <si>
    <t>Cleveland Cavaliers</t>
  </si>
  <si>
    <t>Evan Mobley</t>
  </si>
  <si>
    <t>USC</t>
  </si>
  <si>
    <t>Jabari Smith Jr.</t>
  </si>
  <si>
    <t>Auburn</t>
  </si>
  <si>
    <t>Portland Trail Blazers</t>
  </si>
  <si>
    <t>Scoot Henderson</t>
  </si>
  <si>
    <t>Reed Sheppard</t>
  </si>
  <si>
    <t>VJ Edgecombe</t>
  </si>
  <si>
    <t>Baylor</t>
  </si>
  <si>
    <t>Kristaps Porzingis</t>
  </si>
  <si>
    <t>Latvia</t>
  </si>
  <si>
    <t>Dragan Bender</t>
  </si>
  <si>
    <t>Croatia</t>
  </si>
  <si>
    <t>Josh Jackson</t>
  </si>
  <si>
    <t>Kansas</t>
  </si>
  <si>
    <t>Jaren Jackson Jr.</t>
  </si>
  <si>
    <t>Michigan State</t>
  </si>
  <si>
    <t>De'Andre Hunter</t>
  </si>
  <si>
    <t>Virginia</t>
  </si>
  <si>
    <t>Chicago Bulls</t>
  </si>
  <si>
    <t>Patrick Williams</t>
  </si>
  <si>
    <t>Florida State</t>
  </si>
  <si>
    <t>Toronto Raptors</t>
  </si>
  <si>
    <t>Scottie Barnes</t>
  </si>
  <si>
    <t>Keegan Murray</t>
  </si>
  <si>
    <t>Iowa</t>
  </si>
  <si>
    <t>Amen Thompson</t>
  </si>
  <si>
    <t>Overtime Elite</t>
  </si>
  <si>
    <t>Stephon Castle</t>
  </si>
  <si>
    <t>UConn</t>
  </si>
  <si>
    <t>Kon Knueppel</t>
  </si>
  <si>
    <t>Mario Hezonja</t>
  </si>
  <si>
    <t>Kris Dunn</t>
  </si>
  <si>
    <t>Providence</t>
  </si>
  <si>
    <t>De'Aaron Fox</t>
  </si>
  <si>
    <t>Trae Young</t>
  </si>
  <si>
    <t>Oklahoma</t>
  </si>
  <si>
    <t>Darius Garland</t>
  </si>
  <si>
    <t>Vanderbilt</t>
  </si>
  <si>
    <t>Isaac Okoro</t>
  </si>
  <si>
    <t>Jalen Suggs</t>
  </si>
  <si>
    <t>Jaden Ivey</t>
  </si>
  <si>
    <t>Purdue</t>
  </si>
  <si>
    <t>Ausar Thompson</t>
  </si>
  <si>
    <t>Ron Holland II</t>
  </si>
  <si>
    <t>Utah Jazz</t>
  </si>
  <si>
    <t>Ace Bailey</t>
  </si>
  <si>
    <t>Willie Cauley-Stein</t>
  </si>
  <si>
    <t>Buddy Hield</t>
  </si>
  <si>
    <t>Jonathan Isaac</t>
  </si>
  <si>
    <t>Mo Bamba</t>
  </si>
  <si>
    <t>Texas</t>
  </si>
  <si>
    <t>Jarrett Culver</t>
  </si>
  <si>
    <t>Texas Tech</t>
  </si>
  <si>
    <t>Onyeka Okongwu</t>
  </si>
  <si>
    <t>Josh Giddey</t>
  </si>
  <si>
    <t>Australia (NBL)</t>
  </si>
  <si>
    <t>Indiana Pacers</t>
  </si>
  <si>
    <t>Bennedict Mathurin</t>
  </si>
  <si>
    <t>Anthony Black</t>
  </si>
  <si>
    <t>Arkansas</t>
  </si>
  <si>
    <t>Tidjane Salaun</t>
  </si>
  <si>
    <t>Tre Johnson</t>
  </si>
  <si>
    <t>Denver Nuggets</t>
  </si>
  <si>
    <t>Emmanuel Mudiay</t>
  </si>
  <si>
    <t>DRC</t>
  </si>
  <si>
    <t>Jamal Murray</t>
  </si>
  <si>
    <t>Lauri Markkanen</t>
  </si>
  <si>
    <t>Wendell Carter Jr.</t>
  </si>
  <si>
    <t>Coby White</t>
  </si>
  <si>
    <t>UNC</t>
  </si>
  <si>
    <t>Killian Hayes</t>
  </si>
  <si>
    <t>Jonathan Kuminga</t>
  </si>
  <si>
    <t>Shaedon Sharpe</t>
  </si>
  <si>
    <t>Bilal Coulibaly</t>
  </si>
  <si>
    <t>Donovan Clingan</t>
  </si>
  <si>
    <t>Jeremiah Fears</t>
  </si>
  <si>
    <t>Stanley Johnson</t>
  </si>
  <si>
    <t>Marquese Chriss</t>
  </si>
  <si>
    <t>Frank Ntilikina</t>
  </si>
  <si>
    <t>Collin Sexton</t>
  </si>
  <si>
    <t>Jaxson Hayes</t>
  </si>
  <si>
    <t>Obi Toppin</t>
  </si>
  <si>
    <t>Dayton</t>
  </si>
  <si>
    <t>Franz Wagner</t>
  </si>
  <si>
    <t>Michigan</t>
  </si>
  <si>
    <t>Dyson Daniels</t>
  </si>
  <si>
    <t>Jarace Walker</t>
  </si>
  <si>
    <t>Houston</t>
  </si>
  <si>
    <t>Rob Dillingham</t>
  </si>
  <si>
    <t>Brooklyn Nets</t>
  </si>
  <si>
    <t>Egor Demin</t>
  </si>
  <si>
    <t>BYU</t>
  </si>
  <si>
    <t>Frank Kaminsky</t>
  </si>
  <si>
    <t>Wisconsin</t>
  </si>
  <si>
    <t>Jakob Poeltl</t>
  </si>
  <si>
    <t>Utah</t>
  </si>
  <si>
    <t>Dennis Smith Jr.</t>
  </si>
  <si>
    <t>NC State</t>
  </si>
  <si>
    <t>Kevin Knox</t>
  </si>
  <si>
    <t>Rui Hachimura</t>
  </si>
  <si>
    <t>Deni Avdija</t>
  </si>
  <si>
    <t>Israel</t>
  </si>
  <si>
    <t>Davion Mitchell</t>
  </si>
  <si>
    <t>Jeremy Sochan</t>
  </si>
  <si>
    <t>Taylor Hendricks</t>
  </si>
  <si>
    <t>Central Florida</t>
  </si>
  <si>
    <t>Zach Edey</t>
  </si>
  <si>
    <t>Collin Murray-Boyles</t>
  </si>
  <si>
    <t>South Carolina</t>
  </si>
  <si>
    <t>Miami Heat</t>
  </si>
  <si>
    <t>Justise Winslow</t>
  </si>
  <si>
    <t>Milwaukee Bucks</t>
  </si>
  <si>
    <t>Thon Maker</t>
  </si>
  <si>
    <t>Australia</t>
  </si>
  <si>
    <t>Zach Collins</t>
  </si>
  <si>
    <t>Mikal Bridges</t>
  </si>
  <si>
    <t>Villanova</t>
  </si>
  <si>
    <t>Cam Reddish</t>
  </si>
  <si>
    <t>Jalen Smith</t>
  </si>
  <si>
    <t>Maryland</t>
  </si>
  <si>
    <t>Ziaire Williams</t>
  </si>
  <si>
    <t>Stanford</t>
  </si>
  <si>
    <t>Johnny Davis</t>
  </si>
  <si>
    <t>Cason Wallace</t>
  </si>
  <si>
    <t>Cody Williams</t>
  </si>
  <si>
    <t>Colorado</t>
  </si>
  <si>
    <t>Khaman Maluach</t>
  </si>
  <si>
    <t>Myles Turner</t>
  </si>
  <si>
    <t>Domantas Sabonis</t>
  </si>
  <si>
    <t>Malik Monk</t>
  </si>
  <si>
    <t>Shai Gilgeous-Alexander</t>
  </si>
  <si>
    <t>Cameron Johnson</t>
  </si>
  <si>
    <t>Devin Vassell</t>
  </si>
  <si>
    <t>James Bouknight</t>
  </si>
  <si>
    <t>Ousmane Dieng</t>
  </si>
  <si>
    <t>France (NBL)</t>
  </si>
  <si>
    <t>Jett Howard</t>
  </si>
  <si>
    <t>Matas Buzelis</t>
  </si>
  <si>
    <t>Cedric Coward</t>
  </si>
  <si>
    <t>Washington State</t>
  </si>
  <si>
    <t>Trey Lyles</t>
  </si>
  <si>
    <t>Taurean Prince</t>
  </si>
  <si>
    <t>Luke Kennard</t>
  </si>
  <si>
    <t>LA Clippers</t>
  </si>
  <si>
    <t>Miles Bridges</t>
  </si>
  <si>
    <t>P.J. Washington</t>
  </si>
  <si>
    <t>Tyrese Haliburton</t>
  </si>
  <si>
    <t>Iowa State</t>
  </si>
  <si>
    <t>Joshua Primo</t>
  </si>
  <si>
    <t>Jalen Williams</t>
  </si>
  <si>
    <t>Santa Clara</t>
  </si>
  <si>
    <t>Dereck Lively II</t>
  </si>
  <si>
    <t>Nikola Topic</t>
  </si>
  <si>
    <t>Serbia</t>
  </si>
  <si>
    <t>Noa Essengue</t>
  </si>
  <si>
    <t>Devin Booker</t>
  </si>
  <si>
    <t>Georgios Papagiannis</t>
  </si>
  <si>
    <t>Greece</t>
  </si>
  <si>
    <t>Donovan Mitchell</t>
  </si>
  <si>
    <t>Louisville</t>
  </si>
  <si>
    <t>Jerome Robinson</t>
  </si>
  <si>
    <t>Boston College</t>
  </si>
  <si>
    <t>Tyler Herro</t>
  </si>
  <si>
    <t>Kira Lewis Jr.</t>
  </si>
  <si>
    <t>Chris Duarte</t>
  </si>
  <si>
    <t>Oregon</t>
  </si>
  <si>
    <t>Jalen Duren</t>
  </si>
  <si>
    <t>Gradey Dick</t>
  </si>
  <si>
    <t>Devin Carter</t>
  </si>
  <si>
    <t>Derik Queen</t>
  </si>
  <si>
    <t>Cameron Payne</t>
  </si>
  <si>
    <t>Denzel Valentine</t>
  </si>
  <si>
    <t>Bam Adebayo</t>
  </si>
  <si>
    <t>Michael Porter Jr.</t>
  </si>
  <si>
    <t>Missouri</t>
  </si>
  <si>
    <t>Romeo Langford</t>
  </si>
  <si>
    <t>Indiana</t>
  </si>
  <si>
    <t>Aaron Nesmith</t>
  </si>
  <si>
    <t>Moses Moody</t>
  </si>
  <si>
    <t>Ochai Agbaji</t>
  </si>
  <si>
    <t>Jordan Hawkins</t>
  </si>
  <si>
    <t>Bub Carrington</t>
  </si>
  <si>
    <t>Pittsburgh</t>
  </si>
  <si>
    <t>Carter Bryant</t>
  </si>
  <si>
    <t>Kelly Oubre Jr.</t>
  </si>
  <si>
    <t>Juancho Hernangomez</t>
  </si>
  <si>
    <t>Spain</t>
  </si>
  <si>
    <t>Justin Jackson</t>
  </si>
  <si>
    <t>Troy Brown Jr.</t>
  </si>
  <si>
    <t>Sekou Doumbouya</t>
  </si>
  <si>
    <t>Cole Anthony</t>
  </si>
  <si>
    <t>Corey Kispert</t>
  </si>
  <si>
    <t>Mark Williams</t>
  </si>
  <si>
    <t>Kobe Bufkin</t>
  </si>
  <si>
    <t>Kel'el Ware</t>
  </si>
  <si>
    <t>Thomas Sorber</t>
  </si>
  <si>
    <t>Georgetown</t>
  </si>
  <si>
    <t>Terry Rozier</t>
  </si>
  <si>
    <t>Guerschon Yabusele</t>
  </si>
  <si>
    <t>Justin Patton</t>
  </si>
  <si>
    <t>Creighton</t>
  </si>
  <si>
    <t>Zhaire Smith</t>
  </si>
  <si>
    <t>Chuma Okeke</t>
  </si>
  <si>
    <t>Isaiah Stewart</t>
  </si>
  <si>
    <t>Alperen Sengun</t>
  </si>
  <si>
    <t>Turkey</t>
  </si>
  <si>
    <t>AJ Griffin</t>
  </si>
  <si>
    <t>Keyonte George</t>
  </si>
  <si>
    <t>Jared McCain</t>
  </si>
  <si>
    <t>Yang Hansen</t>
  </si>
  <si>
    <t>China</t>
  </si>
  <si>
    <t>Rashad Vaughn</t>
  </si>
  <si>
    <t>UNLV</t>
  </si>
  <si>
    <t>Wade Baldwin IV</t>
  </si>
  <si>
    <t>D.J. Wilson</t>
  </si>
  <si>
    <t>Donte DiVincenzo</t>
  </si>
  <si>
    <t>Nickeil Alexander-Walker</t>
  </si>
  <si>
    <t>Virginia Tech</t>
  </si>
  <si>
    <t>Aleksej Pokusevski</t>
  </si>
  <si>
    <t>Trey Murphy III</t>
  </si>
  <si>
    <t>Tari Eason</t>
  </si>
  <si>
    <t>Jalen Hood-Schifino</t>
  </si>
  <si>
    <t>Dalton Knecht</t>
  </si>
  <si>
    <t>Tennessee</t>
  </si>
  <si>
    <t>Joan Beringer</t>
  </si>
  <si>
    <t>Sam Dekker</t>
  </si>
  <si>
    <t>Henry Ellenson</t>
  </si>
  <si>
    <t>Marquette</t>
  </si>
  <si>
    <t>T.J. Leaf</t>
  </si>
  <si>
    <t>Lonnie Walker IV</t>
  </si>
  <si>
    <t>Miami (FL)</t>
  </si>
  <si>
    <t>Goga Bitadze</t>
  </si>
  <si>
    <t>Georgia (country)</t>
  </si>
  <si>
    <t>Josh Green</t>
  </si>
  <si>
    <t>Tre Mann</t>
  </si>
  <si>
    <t>Florida</t>
  </si>
  <si>
    <t>Dalen Terry</t>
  </si>
  <si>
    <t>Jaime Jaquez Jr.</t>
  </si>
  <si>
    <t>Tristan da Silva</t>
  </si>
  <si>
    <t>Walter Clayton Jr.</t>
  </si>
  <si>
    <t>Jerian Grant</t>
  </si>
  <si>
    <t>Notre Dame</t>
  </si>
  <si>
    <t>Malik Beasley</t>
  </si>
  <si>
    <t>John Collins</t>
  </si>
  <si>
    <t>Wake Forest</t>
  </si>
  <si>
    <t>Kevin Huerter</t>
  </si>
  <si>
    <t>Luka Samanic</t>
  </si>
  <si>
    <t>Saddiq Bey</t>
  </si>
  <si>
    <t>Kai Jones</t>
  </si>
  <si>
    <t>Jake LaRavia</t>
  </si>
  <si>
    <t>Brandin Podziemski</t>
  </si>
  <si>
    <t>Ja'Kobe Walter</t>
  </si>
  <si>
    <t>Nolan Traore</t>
  </si>
  <si>
    <t>Delon Wright</t>
  </si>
  <si>
    <t>Caris LeVert</t>
  </si>
  <si>
    <t>Harry Giles III</t>
  </si>
  <si>
    <t>Josh Okogie</t>
  </si>
  <si>
    <t>Georgia Tech</t>
  </si>
  <si>
    <t>Matisse Thybulle</t>
  </si>
  <si>
    <t>Precious Achiuwa</t>
  </si>
  <si>
    <t>Jalen Johnson</t>
  </si>
  <si>
    <t>Malaki Branham</t>
  </si>
  <si>
    <t>Cam Whitmore</t>
  </si>
  <si>
    <t>Jaylon Tyson</t>
  </si>
  <si>
    <t>Kasparas Jakucionis</t>
  </si>
  <si>
    <t>Illinois</t>
  </si>
  <si>
    <t>Justin Anderson</t>
  </si>
  <si>
    <t>DeAndre' Bembry</t>
  </si>
  <si>
    <t>Saint Joseph's</t>
  </si>
  <si>
    <t>Terrance Ferguson</t>
  </si>
  <si>
    <t>Grayson Allen</t>
  </si>
  <si>
    <t>Brandon Clarke</t>
  </si>
  <si>
    <t>Tyrese Maxey</t>
  </si>
  <si>
    <t>Keon Johnson</t>
  </si>
  <si>
    <t>Christian Braun</t>
  </si>
  <si>
    <t>Noah Clowney</t>
  </si>
  <si>
    <t>Yves Missi</t>
  </si>
  <si>
    <t>Will Riley</t>
  </si>
  <si>
    <t>Bobby Portis</t>
  </si>
  <si>
    <t>Malachi Richardson</t>
  </si>
  <si>
    <t>Syracuse</t>
  </si>
  <si>
    <t>Jarrett Allen</t>
  </si>
  <si>
    <t>Chandler Hutchison</t>
  </si>
  <si>
    <t>Boise State</t>
  </si>
  <si>
    <t>Grant Williams</t>
  </si>
  <si>
    <t>Zeke Nnaji</t>
  </si>
  <si>
    <t>Isaiah Jackson</t>
  </si>
  <si>
    <t>Walker Kessler</t>
  </si>
  <si>
    <t>Dariq Whitehead</t>
  </si>
  <si>
    <t>DaRon Holmes II</t>
  </si>
  <si>
    <t>Drake Powell</t>
  </si>
  <si>
    <t>Rondae Hollis-Jefferson</t>
  </si>
  <si>
    <t>Ante Zizic</t>
  </si>
  <si>
    <t>OG Anunoby</t>
  </si>
  <si>
    <t>Aaron Holiday</t>
  </si>
  <si>
    <t>Darius Bazley</t>
  </si>
  <si>
    <t>(none) prep</t>
  </si>
  <si>
    <t>Leandro Bolmaro</t>
  </si>
  <si>
    <t>Argentina</t>
  </si>
  <si>
    <t>Usman Garuba</t>
  </si>
  <si>
    <t>David Roddy</t>
  </si>
  <si>
    <t>Colorado State</t>
  </si>
  <si>
    <t>Kris Murray</t>
  </si>
  <si>
    <t>AJ Johnson</t>
  </si>
  <si>
    <t>Asa Newell</t>
  </si>
  <si>
    <t>Tyus Jones</t>
  </si>
  <si>
    <t>Timothe Luwawu-Cabarrot</t>
  </si>
  <si>
    <t>Tyler Lydon</t>
  </si>
  <si>
    <t>Anfernee Simons</t>
  </si>
  <si>
    <t>Ty Jerome</t>
  </si>
  <si>
    <t>R.J. Hampton</t>
  </si>
  <si>
    <t>(none) prep/NBL</t>
  </si>
  <si>
    <t>Josh Christopher</t>
  </si>
  <si>
    <t>Arizona State</t>
  </si>
  <si>
    <t>MarJon Beauchamp</t>
  </si>
  <si>
    <t>Olivier-Maxence Prosper</t>
  </si>
  <si>
    <t>Kyshawn George</t>
  </si>
  <si>
    <t>Nique Clifford</t>
  </si>
  <si>
    <t>Jarell Martin</t>
  </si>
  <si>
    <t>Brice Johnson</t>
  </si>
  <si>
    <t>Anzejs Pasecniks</t>
  </si>
  <si>
    <t>Moritz Wagner</t>
  </si>
  <si>
    <t>Nassir Little</t>
  </si>
  <si>
    <t>Immanuel Quickley</t>
  </si>
  <si>
    <t>Quentin Grimes</t>
  </si>
  <si>
    <t>Blake Wesley</t>
  </si>
  <si>
    <t>Marcus Sasser</t>
  </si>
  <si>
    <t>Pacome Dadiet</t>
  </si>
  <si>
    <t>France/Germany</t>
  </si>
  <si>
    <t>Jase Richardson</t>
  </si>
  <si>
    <t>Nikola Milutinov</t>
  </si>
  <si>
    <t>Furkan Korkmaz</t>
  </si>
  <si>
    <t>Caleb Swanigan</t>
  </si>
  <si>
    <t>Landry Shamet</t>
  </si>
  <si>
    <t>Wichita State</t>
  </si>
  <si>
    <t>Dylan Windler</t>
  </si>
  <si>
    <t>Belmont</t>
  </si>
  <si>
    <t>Payton Pritchard</t>
  </si>
  <si>
    <t>Bones Hyland</t>
  </si>
  <si>
    <t>VCU</t>
  </si>
  <si>
    <t>Wendell Moore Jr.</t>
  </si>
  <si>
    <t>Ben Sheppard</t>
  </si>
  <si>
    <t>Dillon Jones</t>
  </si>
  <si>
    <t>Weber State</t>
  </si>
  <si>
    <t>Ben Saraf</t>
  </si>
  <si>
    <t>Larry Nance Jr.</t>
  </si>
  <si>
    <t>Wyoming</t>
  </si>
  <si>
    <t>Pascal Siakam</t>
  </si>
  <si>
    <t>New Mexico State</t>
  </si>
  <si>
    <t>Kyle Kuzma</t>
  </si>
  <si>
    <t>Robert Williams III</t>
  </si>
  <si>
    <t>Texas A&amp;M</t>
  </si>
  <si>
    <t>Mfiondu Kabengele</t>
  </si>
  <si>
    <t>Udoka Azubuike</t>
  </si>
  <si>
    <t>Cam Thomas</t>
  </si>
  <si>
    <t>Nikola Jovic</t>
  </si>
  <si>
    <t>Nick Smith Jr.</t>
  </si>
  <si>
    <t>Terrence Shannon Jr.</t>
  </si>
  <si>
    <t>Danny Wolf</t>
  </si>
  <si>
    <t>R.J. Hunter</t>
  </si>
  <si>
    <t>Georgia State</t>
  </si>
  <si>
    <t>Skal Labissiere</t>
  </si>
  <si>
    <t>Tony Bradley</t>
  </si>
  <si>
    <t>Jacob Evans</t>
  </si>
  <si>
    <t>Cincinnati</t>
  </si>
  <si>
    <t>Jordan Poole</t>
  </si>
  <si>
    <t>Jaden McDaniels</t>
  </si>
  <si>
    <t>Jaden Springer</t>
  </si>
  <si>
    <t>Patrick Baldwin Jr.</t>
  </si>
  <si>
    <t>UW-Milwaukee</t>
  </si>
  <si>
    <t>Brice Sensabaugh</t>
  </si>
  <si>
    <t>Ryan Dunn</t>
  </si>
  <si>
    <t>Hugo Gonzalez</t>
  </si>
  <si>
    <t>Chris McCullough</t>
  </si>
  <si>
    <t>Dejounte Murray</t>
  </si>
  <si>
    <t>Derrick White</t>
  </si>
  <si>
    <t>Dzanan Musa</t>
  </si>
  <si>
    <t>Bosnia</t>
  </si>
  <si>
    <t>Keldon Johnson</t>
  </si>
  <si>
    <t>Malachi Flynn</t>
  </si>
  <si>
    <t>San Diego State</t>
  </si>
  <si>
    <t>Day'Ron Sharpe</t>
  </si>
  <si>
    <t>TyTy Washington Jr.</t>
  </si>
  <si>
    <t>Julian Strawther</t>
  </si>
  <si>
    <t>Isaiah Collier</t>
  </si>
  <si>
    <t>Liam McNeeley</t>
  </si>
  <si>
    <t>Kevon Looney</t>
  </si>
  <si>
    <t>Damian Jones</t>
  </si>
  <si>
    <t>Josh Hart</t>
  </si>
  <si>
    <t>Omari Spellman</t>
  </si>
  <si>
    <t>Kevin Porter Jr.</t>
  </si>
  <si>
    <t>Desmond Bane</t>
  </si>
  <si>
    <t>TCU</t>
  </si>
  <si>
    <t>Santi Aldama</t>
  </si>
  <si>
    <t>Loyola (MD)</t>
  </si>
  <si>
    <t>Peyton Watson</t>
  </si>
  <si>
    <t>Kobe Brown</t>
  </si>
  <si>
    <t>Baylor Scheierman</t>
  </si>
  <si>
    <t>Yanic Konan Niederhauser</t>
  </si>
  <si>
    <t>Penn State</t>
  </si>
  <si>
    <t>Emoji</t>
  </si>
  <si>
    <t>Tier</t>
  </si>
  <si>
    <t>Meaning</t>
  </si>
  <si>
    <t>🟩</t>
  </si>
  <si>
    <t>Superstar</t>
  </si>
  <si>
    <t>MVP-caliber / perennial All-NBA, top tier of the league</t>
  </si>
  <si>
    <t>🟦</t>
  </si>
  <si>
    <t>Star / All-Star</t>
  </si>
  <si>
    <t>At least one All-Star selection or clear All-Star-level production</t>
  </si>
  <si>
    <t>🟨</t>
  </si>
  <si>
    <t>Above-average starter</t>
  </si>
  <si>
    <t>Long-time quality starter, not an All-Star</t>
  </si>
  <si>
    <t>⬛</t>
  </si>
  <si>
    <t>Contributor / role player</t>
  </si>
  <si>
    <t>Rotation/bench piece, solid NBA role</t>
  </si>
  <si>
    <t>🟥</t>
  </si>
  <si>
    <t>Bust</t>
  </si>
  <si>
    <t>Did not pan out relative to draft slot; replacement level or out of the league</t>
  </si>
  <si>
    <t>⏳</t>
  </si>
  <si>
    <t>Too early to tell</t>
  </si>
  <si>
    <t>2024-2025 picks; not enough career sample yet to judge</t>
  </si>
  <si>
    <t>Note: Tiers are a subjective judgment call based on All-Star/All-NBA selections, career advanced stats (Win Shares, BPM, VORP via Basketball-Reference), and games played through the 2025-26 season. 2024 and 2025 draft classes are marked 'Too early to tell' given limited career sample size.</t>
  </si>
  <si>
    <t>First Round Statistics</t>
  </si>
  <si>
    <t>Picks 1-5</t>
  </si>
  <si>
    <t>Picks 6-10</t>
  </si>
  <si>
    <t>Picks 11-15</t>
  </si>
  <si>
    <t>Picks 16-20</t>
  </si>
  <si>
    <t>Picks 21-25</t>
  </si>
  <si>
    <t>Picks 26-30</t>
  </si>
  <si>
    <t>Score Indicator</t>
  </si>
  <si>
    <t>n</t>
  </si>
  <si>
    <t>mean</t>
  </si>
  <si>
    <t>median</t>
  </si>
  <si>
    <t>std dev</t>
  </si>
  <si>
    <t>r</t>
  </si>
  <si>
    <t>r^2</t>
  </si>
  <si>
    <t>mode</t>
  </si>
  <si>
    <t>Pick 1</t>
  </si>
  <si>
    <t>Pick 2</t>
  </si>
  <si>
    <t>Pick 3</t>
  </si>
  <si>
    <t>Pick 4</t>
  </si>
  <si>
    <t>Pick 5</t>
  </si>
  <si>
    <t>Pick 6</t>
  </si>
  <si>
    <t>Pick 7</t>
  </si>
  <si>
    <t>Pick 8</t>
  </si>
  <si>
    <t>Pick 9</t>
  </si>
  <si>
    <t>Pick 10</t>
  </si>
  <si>
    <t>Pick 11</t>
  </si>
  <si>
    <t>Pick 12</t>
  </si>
  <si>
    <t>Pick 13</t>
  </si>
  <si>
    <t>Pick 14</t>
  </si>
  <si>
    <t>Pick 15</t>
  </si>
  <si>
    <t>Pick 16</t>
  </si>
  <si>
    <t>Pick 17</t>
  </si>
  <si>
    <t>Pick 18</t>
  </si>
  <si>
    <t>Pick 19</t>
  </si>
  <si>
    <t>Pick 20</t>
  </si>
  <si>
    <t>Pick 21</t>
  </si>
  <si>
    <t>Pick 22</t>
  </si>
  <si>
    <t>Pick 23</t>
  </si>
  <si>
    <t>Pick 24</t>
  </si>
  <si>
    <t>Pick 25</t>
  </si>
  <si>
    <t>Pick 26</t>
  </si>
  <si>
    <t>Pick 27</t>
  </si>
  <si>
    <t>Pick 28</t>
  </si>
  <si>
    <t>Pick 29</t>
  </si>
  <si>
    <t>Pick 30</t>
  </si>
  <si>
    <t>superstar %</t>
  </si>
  <si>
    <t>star/all-star %</t>
  </si>
  <si>
    <t>all star + %</t>
  </si>
  <si>
    <t>Career Outcome</t>
  </si>
  <si>
    <t>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</si>
</sst>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.5"/>
      <color rgb="FFFFFFFF"/>
      <name val="Arial"/>
      <family val="2"/>
    </font>
    <font>
      <sz val="10.5"/>
      <name val="Arial"/>
      <family val="2"/>
    </font>
    <font>
      <b/>
      <sz val="10.5"/>
      <color rgb="FF000000"/>
      <name val="Arial"/>
      <family val="2"/>
    </font>
    <font>
      <b/>
      <sz val="11"/>
      <color rgb="FF000000"/>
      <name val="Arial"/>
      <family val="2"/>
    </font>
    <font>
      <i/>
      <sz val="9"/>
      <color rgb="FF595959"/>
      <name val="Arial"/>
      <family val="2"/>
    </font>
    <font>
      <b/>
      <sz val="16"/>
      <color theme="0"/>
      <name val="Aptos Narrow (Body)"/>
    </font>
    <font>
      <b/>
      <sz val="14"/>
      <color theme="3"/>
      <name val="Calibri"/>
      <family val="2"/>
      <scheme val="minor"/>
    </font>
    <font>
      <b/>
      <sz val="11"/>
      <color theme="0"/>
      <name val="Arial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925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595959"/>
      </patternFill>
    </fill>
    <fill>
      <patternFill patternType="solid">
        <fgColor rgb="FFD6B60A"/>
      </patternFill>
    </fill>
    <fill>
      <patternFill patternType="solid">
        <fgColor rgb="FFA6A6A6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5" fillId="7" borderId="0" xfId="0" applyFont="1" applyFill="1"/>
    <xf numFmtId="0" fontId="5" fillId="8" borderId="0" xfId="0" applyFont="1" applyFill="1"/>
    <xf numFmtId="0" fontId="9" fillId="9" borderId="1" xfId="0" applyFont="1" applyFill="1" applyBorder="1" applyAlignment="1">
      <alignment horizontal="center" vertical="center"/>
    </xf>
    <xf numFmtId="10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5" borderId="0" xfId="0" applyFont="1" applyFill="1"/>
    <xf numFmtId="0" fontId="7" fillId="9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6" fillId="0" borderId="0" xfId="0" applyFont="1" applyAlignment="1">
      <alignment vertical="top" wrapText="1"/>
    </xf>
    <xf numFmtId="0" fontId="0" fillId="0" borderId="0" xfId="0"/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01FBA"/>
      <color rgb="FFDF9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Score by Pick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A-45D7-8323-60B50EB8B48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5A-45D7-8323-60B50EB8B48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5A-45D7-8323-60B50EB8B48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5A-45D7-8323-60B50EB8B48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5A-45D7-8323-60B50EB8B48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95A-45D7-8323-60B50EB8B480}"/>
              </c:ext>
            </c:extLst>
          </c:dPt>
          <c:cat>
            <c:strRef>
              <c:f>(Charts!$A$2,Charts!$A$3,Charts!$A$4,Charts!$A$5,Charts!$A$6,Charts!$A$7)</c:f>
              <c:strCache>
                <c:ptCount val="6"/>
                <c:pt idx="0">
                  <c:v>Picks 1-5</c:v>
                </c:pt>
                <c:pt idx="1">
                  <c:v>Picks 6-10</c:v>
                </c:pt>
                <c:pt idx="2">
                  <c:v>Picks 11-15</c:v>
                </c:pt>
                <c:pt idx="3">
                  <c:v>Picks 16-20</c:v>
                </c:pt>
                <c:pt idx="4">
                  <c:v>Picks 21-25</c:v>
                </c:pt>
                <c:pt idx="5">
                  <c:v>Picks 26-30</c:v>
                </c:pt>
              </c:strCache>
            </c:strRef>
          </c:cat>
          <c:val>
            <c:numRef>
              <c:f>(Charts!$B$2,Charts!$B$3,Charts!$B$4,Charts!$B$5,Charts!$B$6,Charts!$B$7)</c:f>
              <c:numCache>
                <c:formatCode>General</c:formatCode>
                <c:ptCount val="6"/>
                <c:pt idx="0">
                  <c:v>3.2444444444444445</c:v>
                </c:pt>
                <c:pt idx="1">
                  <c:v>2.2000000000000002</c:v>
                </c:pt>
                <c:pt idx="2">
                  <c:v>2.3777777777777778</c:v>
                </c:pt>
                <c:pt idx="3">
                  <c:v>1.9787234042553192</c:v>
                </c:pt>
                <c:pt idx="4">
                  <c:v>1.8043478260869565</c:v>
                </c:pt>
                <c:pt idx="5">
                  <c:v>1.9347826086956521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8-C742-B3AF-0B9DA70A8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547631"/>
        <c:axId val="1767251135"/>
      </c:barChart>
      <c:catAx>
        <c:axId val="176754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251135"/>
        <c:crosses val="autoZero"/>
        <c:auto val="1"/>
        <c:lblAlgn val="ctr"/>
        <c:lblOffset val="100"/>
        <c:noMultiLvlLbl val="0"/>
      </c:catAx>
      <c:valAx>
        <c:axId val="176725113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4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 by First Round Pick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9C-D542-8B50-4919726ABCBD}"/>
              </c:ext>
            </c:extLst>
          </c:dPt>
          <c:cat>
            <c:strRef>
              <c:f>Charts!$J$2:$J$32</c:f>
              <c:strCache>
                <c:ptCount val="30"/>
                <c:pt idx="0">
                  <c:v>Pick 1</c:v>
                </c:pt>
                <c:pt idx="1">
                  <c:v>Pick 2</c:v>
                </c:pt>
                <c:pt idx="2">
                  <c:v>Pick 3</c:v>
                </c:pt>
                <c:pt idx="3">
                  <c:v>Pick 4</c:v>
                </c:pt>
                <c:pt idx="4">
                  <c:v>Pick 5</c:v>
                </c:pt>
                <c:pt idx="5">
                  <c:v>Pick 6</c:v>
                </c:pt>
                <c:pt idx="6">
                  <c:v>Pick 7</c:v>
                </c:pt>
                <c:pt idx="7">
                  <c:v>Pick 8</c:v>
                </c:pt>
                <c:pt idx="8">
                  <c:v>Pick 9</c:v>
                </c:pt>
                <c:pt idx="9">
                  <c:v>Pick 10</c:v>
                </c:pt>
                <c:pt idx="10">
                  <c:v>Pick 11</c:v>
                </c:pt>
                <c:pt idx="11">
                  <c:v>Pick 12</c:v>
                </c:pt>
                <c:pt idx="12">
                  <c:v>Pick 13</c:v>
                </c:pt>
                <c:pt idx="13">
                  <c:v>Pick 14</c:v>
                </c:pt>
                <c:pt idx="14">
                  <c:v>Pick 15</c:v>
                </c:pt>
                <c:pt idx="15">
                  <c:v>Pick 16</c:v>
                </c:pt>
                <c:pt idx="16">
                  <c:v>Pick 17</c:v>
                </c:pt>
                <c:pt idx="17">
                  <c:v>Pick 18</c:v>
                </c:pt>
                <c:pt idx="18">
                  <c:v>Pick 19</c:v>
                </c:pt>
                <c:pt idx="19">
                  <c:v>Pick 20</c:v>
                </c:pt>
                <c:pt idx="20">
                  <c:v>Pick 21</c:v>
                </c:pt>
                <c:pt idx="21">
                  <c:v>Pick 22</c:v>
                </c:pt>
                <c:pt idx="22">
                  <c:v>Pick 23</c:v>
                </c:pt>
                <c:pt idx="23">
                  <c:v>Pick 24</c:v>
                </c:pt>
                <c:pt idx="24">
                  <c:v>Pick 25</c:v>
                </c:pt>
                <c:pt idx="25">
                  <c:v>Pick 26</c:v>
                </c:pt>
                <c:pt idx="26">
                  <c:v>Pick 27</c:v>
                </c:pt>
                <c:pt idx="27">
                  <c:v>Pick 28</c:v>
                </c:pt>
                <c:pt idx="28">
                  <c:v>Pick 29</c:v>
                </c:pt>
                <c:pt idx="29">
                  <c:v>Pick 30</c:v>
                </c:pt>
              </c:strCache>
            </c:strRef>
          </c:cat>
          <c:val>
            <c:numRef>
              <c:f>Charts!$K$2:$K$32</c:f>
              <c:numCache>
                <c:formatCode>General</c:formatCode>
                <c:ptCount val="31"/>
                <c:pt idx="0">
                  <c:v>4</c:v>
                </c:pt>
                <c:pt idx="1">
                  <c:v>3</c:v>
                </c:pt>
                <c:pt idx="2">
                  <c:v>3.5555555555555554</c:v>
                </c:pt>
                <c:pt idx="3">
                  <c:v>2.8888888888888888</c:v>
                </c:pt>
                <c:pt idx="4">
                  <c:v>2.7777777777777777</c:v>
                </c:pt>
                <c:pt idx="5">
                  <c:v>2.3333333333333335</c:v>
                </c:pt>
                <c:pt idx="6">
                  <c:v>2.5555555555555554</c:v>
                </c:pt>
                <c:pt idx="7">
                  <c:v>2.1111111111111112</c:v>
                </c:pt>
                <c:pt idx="8">
                  <c:v>2.1111111111111112</c:v>
                </c:pt>
                <c:pt idx="9">
                  <c:v>1.8888888888888888</c:v>
                </c:pt>
                <c:pt idx="10">
                  <c:v>2.6666666666666665</c:v>
                </c:pt>
                <c:pt idx="11">
                  <c:v>2.7777777777777777</c:v>
                </c:pt>
                <c:pt idx="12">
                  <c:v>2.6666666666666665</c:v>
                </c:pt>
                <c:pt idx="13">
                  <c:v>2</c:v>
                </c:pt>
                <c:pt idx="14">
                  <c:v>1.7777777777777777</c:v>
                </c:pt>
                <c:pt idx="15">
                  <c:v>2.2000000000000002</c:v>
                </c:pt>
                <c:pt idx="16">
                  <c:v>1.8</c:v>
                </c:pt>
                <c:pt idx="17">
                  <c:v>1.6666666666666667</c:v>
                </c:pt>
                <c:pt idx="18">
                  <c:v>2.1111111111111112</c:v>
                </c:pt>
                <c:pt idx="19">
                  <c:v>2.1111111111111112</c:v>
                </c:pt>
                <c:pt idx="20">
                  <c:v>2.1111111111111112</c:v>
                </c:pt>
                <c:pt idx="21">
                  <c:v>2</c:v>
                </c:pt>
                <c:pt idx="22">
                  <c:v>1.5555555555555556</c:v>
                </c:pt>
                <c:pt idx="23">
                  <c:v>1.6666666666666667</c:v>
                </c:pt>
                <c:pt idx="24">
                  <c:v>1.7</c:v>
                </c:pt>
                <c:pt idx="25">
                  <c:v>1.6</c:v>
                </c:pt>
                <c:pt idx="26">
                  <c:v>2.2222222222222223</c:v>
                </c:pt>
                <c:pt idx="27">
                  <c:v>1.5555555555555556</c:v>
                </c:pt>
                <c:pt idx="28">
                  <c:v>2.1111111111111112</c:v>
                </c:pt>
                <c:pt idx="29">
                  <c:v>2.2222222222222223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C-D542-8B50-4919726AB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141376"/>
        <c:axId val="1594270448"/>
      </c:lineChart>
      <c:catAx>
        <c:axId val="159414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70448"/>
        <c:crosses val="autoZero"/>
        <c:auto val="1"/>
        <c:lblAlgn val="ctr"/>
        <c:lblOffset val="100"/>
        <c:noMultiLvlLbl val="0"/>
      </c:catAx>
      <c:valAx>
        <c:axId val="159427044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4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</a:t>
            </a:r>
            <a:r>
              <a:rPr lang="en-US" baseline="0"/>
              <a:t> Percentage by Pick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9F-6940-9A82-5CC562200D0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9F-6940-9A82-5CC562200D0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79F-6940-9A82-5CC562200D0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79F-6940-9A82-5CC562200D0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9F-6940-9A82-5CC562200D09}"/>
              </c:ext>
            </c:extLst>
          </c:dPt>
          <c:dLbls>
            <c:dLbl>
              <c:idx val="1"/>
              <c:layout>
                <c:manualLayout>
                  <c:x val="-6.4519212024603381E-2"/>
                  <c:y val="4.121323715624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9F-6940-9A82-5CC562200D09}"/>
                </c:ext>
              </c:extLst>
            </c:dLbl>
            <c:dLbl>
              <c:idx val="3"/>
              <c:layout>
                <c:manualLayout>
                  <c:x val="8.808952174568974E-3"/>
                  <c:y val="1.990477825860687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9F-6940-9A82-5CC562200D09}"/>
                </c:ext>
              </c:extLst>
            </c:dLbl>
            <c:dLbl>
              <c:idx val="5"/>
              <c:layout>
                <c:manualLayout>
                  <c:x val="-1.2959453901184449E-2"/>
                  <c:y val="-5.68436611697154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9F-6940-9A82-5CC562200D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(Charts!$A$2,Charts!$A$3,Charts!$A$4,Charts!$A$5,Charts!$A$6,Charts!$A$7)</c:f>
              <c:strCache>
                <c:ptCount val="6"/>
                <c:pt idx="0">
                  <c:v>Picks 1-5</c:v>
                </c:pt>
                <c:pt idx="1">
                  <c:v>Picks 6-10</c:v>
                </c:pt>
                <c:pt idx="2">
                  <c:v>Picks 11-15</c:v>
                </c:pt>
                <c:pt idx="3">
                  <c:v>Picks 16-20</c:v>
                </c:pt>
                <c:pt idx="4">
                  <c:v>Picks 21-25</c:v>
                </c:pt>
                <c:pt idx="5">
                  <c:v>Picks 26-30</c:v>
                </c:pt>
              </c:strCache>
            </c:strRef>
          </c:cat>
          <c:val>
            <c:numRef>
              <c:f>(Charts!$C$2,Charts!$C$3,Charts!$C$4,Charts!$C$5,Charts!$C$6,Charts!$C$7)</c:f>
              <c:numCache>
                <c:formatCode>General</c:formatCode>
                <c:ptCount val="6"/>
                <c:pt idx="0">
                  <c:v>7.9096889952152996</c:v>
                </c:pt>
                <c:pt idx="1">
                  <c:v>3.7037037037037051</c:v>
                </c:pt>
                <c:pt idx="2">
                  <c:v>8.0985915492957741</c:v>
                </c:pt>
                <c:pt idx="3">
                  <c:v>2.3715631933392461E-2</c:v>
                </c:pt>
                <c:pt idx="4">
                  <c:v>2.6490113371420438</c:v>
                </c:pt>
                <c:pt idx="5">
                  <c:v>2.8078782324294158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F-6940-9A82-5CC562200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973647"/>
        <c:axId val="708065312"/>
      </c:lineChart>
      <c:catAx>
        <c:axId val="147397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65312"/>
        <c:crosses val="autoZero"/>
        <c:auto val="1"/>
        <c:lblAlgn val="ctr"/>
        <c:lblOffset val="100"/>
        <c:noMultiLvlLbl val="0"/>
      </c:catAx>
      <c:valAx>
        <c:axId val="70806531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7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Career Outcome</a:t>
            </a:r>
            <a:r>
              <a:rPr lang="en-US" baseline="0"/>
              <a:t> Probability for First Round Picks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Charts!$K$33</c:f>
              <c:strCache>
                <c:ptCount val="1"/>
                <c:pt idx="0">
                  <c:v>Chance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990-5947-BD9E-4645485C24A5}"/>
              </c:ext>
            </c:extLst>
          </c:dPt>
          <c:dPt>
            <c:idx val="1"/>
            <c:invertIfNegative val="0"/>
            <c:bubble3D val="0"/>
            <c:spPr>
              <a:solidFill>
                <a:srgbClr val="101FBA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A990-5947-BD9E-4645485C24A5}"/>
              </c:ext>
            </c:extLst>
          </c:dPt>
          <c:dPt>
            <c:idx val="2"/>
            <c:invertIfNegative val="0"/>
            <c:bubble3D val="0"/>
            <c:spPr>
              <a:solidFill>
                <a:srgbClr val="DF9A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990-5947-BD9E-4645485C24A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A990-5947-BD9E-4645485C24A5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990-5947-BD9E-4645485C24A5}"/>
              </c:ext>
            </c:extLst>
          </c:dPt>
          <c:cat>
            <c:strRef>
              <c:f>(Charts!$J$34,Charts!$J$35,Charts!$J$36,Charts!$J$37,Charts!$J$38)</c:f>
              <c:strCache>
                <c:ptCount val="5"/>
                <c:pt idx="0">
                  <c:v>🟩 Superstar</c:v>
                </c:pt>
                <c:pt idx="1">
                  <c:v>🟦 Star / All-Star</c:v>
                </c:pt>
                <c:pt idx="2">
                  <c:v>🟨 Above-average starter</c:v>
                </c:pt>
                <c:pt idx="3">
                  <c:v>⬛ Contributor / role player</c:v>
                </c:pt>
                <c:pt idx="4">
                  <c:v>🟥 Bust</c:v>
                </c:pt>
              </c:strCache>
            </c:strRef>
          </c:cat>
          <c:val>
            <c:numRef>
              <c:f>(Charts!$K$34,Charts!$K$35,Charts!$K$36,Charts!$K$37,Charts!$K$38)</c:f>
              <c:numCache>
                <c:formatCode>0.00%</c:formatCode>
                <c:ptCount val="5"/>
                <c:pt idx="0">
                  <c:v>4.4280442804428041E-2</c:v>
                </c:pt>
                <c:pt idx="1">
                  <c:v>0.12915129151291513</c:v>
                </c:pt>
                <c:pt idx="2">
                  <c:v>0.21033210332103322</c:v>
                </c:pt>
                <c:pt idx="3">
                  <c:v>0.28044280442804426</c:v>
                </c:pt>
                <c:pt idx="4">
                  <c:v>0.34686346863468637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0-5947-BD9E-4645485C2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2776079"/>
        <c:axId val="787579968"/>
        <c:axId val="0"/>
      </c:bar3DChart>
      <c:catAx>
        <c:axId val="102277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79968"/>
        <c:crosses val="autoZero"/>
        <c:auto val="1"/>
        <c:lblAlgn val="ctr"/>
        <c:lblOffset val="100"/>
        <c:noMultiLvlLbl val="0"/>
      </c:catAx>
      <c:valAx>
        <c:axId val="787579968"/>
        <c:scaling>
          <c:orientation val="minMax"/>
          <c:max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7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</a:t>
            </a:r>
            <a:r>
              <a:rPr lang="en-US" baseline="0"/>
              <a:t> Rate by Pick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Charts!$D$1</c:f>
              <c:strCache>
                <c:ptCount val="1"/>
                <c:pt idx="0">
                  <c:v>superstar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4024076317383474E-2"/>
                  <c:y val="-5.0408764121876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A4-7C47-BE76-2EB93470C6A3}"/>
                </c:ext>
              </c:extLst>
            </c:dLbl>
            <c:dLbl>
              <c:idx val="2"/>
              <c:layout>
                <c:manualLayout>
                  <c:x val="-3.7862627824879501E-2"/>
                  <c:y val="4.3844722141025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A4-7C47-BE76-2EB93470C6A3}"/>
                </c:ext>
              </c:extLst>
            </c:dLbl>
            <c:dLbl>
              <c:idx val="3"/>
              <c:layout>
                <c:manualLayout>
                  <c:x val="-2.8249173470015026E-2"/>
                  <c:y val="-2.62648779333898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A4-7C47-BE76-2EB93470C6A3}"/>
                </c:ext>
              </c:extLst>
            </c:dLbl>
            <c:dLbl>
              <c:idx val="4"/>
              <c:layout>
                <c:manualLayout>
                  <c:x val="-2.8254845548152635E-2"/>
                  <c:y val="1.91564532694282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DA4-7C47-BE76-2EB93470C6A3}"/>
                </c:ext>
              </c:extLst>
            </c:dLbl>
            <c:dLbl>
              <c:idx val="5"/>
              <c:layout>
                <c:manualLayout>
                  <c:x val="-3.7870230163537251E-2"/>
                  <c:y val="-2.6060938034919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DA4-7C47-BE76-2EB93470C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Charts!$A$2:$A$7</c:f>
              <c:strCache>
                <c:ptCount val="6"/>
                <c:pt idx="0">
                  <c:v>Picks 1-5</c:v>
                </c:pt>
                <c:pt idx="1">
                  <c:v>Picks 6-10</c:v>
                </c:pt>
                <c:pt idx="2">
                  <c:v>Picks 11-15</c:v>
                </c:pt>
                <c:pt idx="3">
                  <c:v>Picks 16-20</c:v>
                </c:pt>
                <c:pt idx="4">
                  <c:v>Picks 21-25</c:v>
                </c:pt>
                <c:pt idx="5">
                  <c:v>Picks 26-30</c:v>
                </c:pt>
              </c:strCache>
            </c:strRef>
          </c:cat>
          <c:val>
            <c:numRef>
              <c:f>(Charts!$D$2,Charts!$D$3,Charts!$D$4,Charts!$D$5,Charts!$D$6,Charts!$D$7)</c:f>
              <c:numCache>
                <c:formatCode>0.00%</c:formatCode>
                <c:ptCount val="6"/>
                <c:pt idx="0">
                  <c:v>0.15555555555555556</c:v>
                </c:pt>
                <c:pt idx="1">
                  <c:v>0</c:v>
                </c:pt>
                <c:pt idx="2">
                  <c:v>8.8888888888888892E-2</c:v>
                </c:pt>
                <c:pt idx="3">
                  <c:v>0</c:v>
                </c:pt>
                <c:pt idx="4">
                  <c:v>2.1739130434782608E-2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4-7C47-BE76-2EB93470C6A3}"/>
            </c:ext>
          </c:extLst>
        </c:ser>
        <c:ser>
          <c:idx val="1"/>
          <c:order val="1"/>
          <c:tx>
            <c:strRef>
              <c:f>Charts!$E$1</c:f>
              <c:strCache>
                <c:ptCount val="1"/>
                <c:pt idx="0">
                  <c:v>star/all-star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A4-7C47-BE76-2EB93470C6A3}"/>
                </c:ext>
              </c:extLst>
            </c:dLbl>
            <c:dLbl>
              <c:idx val="2"/>
              <c:layout>
                <c:manualLayout>
                  <c:x val="-4.2246363010697729E-2"/>
                  <c:y val="-3.6781317944552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A4-7C47-BE76-2EB93470C6A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A4-7C47-BE76-2EB93470C6A3}"/>
                </c:ext>
              </c:extLst>
            </c:dLbl>
            <c:dLbl>
              <c:idx val="4"/>
              <c:layout>
                <c:manualLayout>
                  <c:x val="-5.1779224712295577E-3"/>
                  <c:y val="1.765148921602191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DA4-7C47-BE76-2EB93470C6A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DA4-7C47-BE76-2EB93470C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Picks 1-5</c:v>
                </c:pt>
                <c:pt idx="1">
                  <c:v>Picks 6-10</c:v>
                </c:pt>
                <c:pt idx="2">
                  <c:v>Picks 11-15</c:v>
                </c:pt>
                <c:pt idx="3">
                  <c:v>Picks 16-20</c:v>
                </c:pt>
                <c:pt idx="4">
                  <c:v>Picks 21-25</c:v>
                </c:pt>
                <c:pt idx="5">
                  <c:v>Picks 26-30</c:v>
                </c:pt>
              </c:strCache>
            </c:strRef>
          </c:cat>
          <c:val>
            <c:numRef>
              <c:f>(Charts!$E$2,Charts!$E$3,Charts!$E$4,Charts!$E$5,Charts!$E$6,Charts!$E$7)</c:f>
              <c:numCache>
                <c:formatCode>0.00%</c:formatCode>
                <c:ptCount val="6"/>
                <c:pt idx="0">
                  <c:v>0.35555555555555557</c:v>
                </c:pt>
                <c:pt idx="1">
                  <c:v>0.1111111111111111</c:v>
                </c:pt>
                <c:pt idx="2">
                  <c:v>0.1111111111111111</c:v>
                </c:pt>
                <c:pt idx="3">
                  <c:v>6.3829787234042548E-2</c:v>
                </c:pt>
                <c:pt idx="4">
                  <c:v>4.3478260869565216E-2</c:v>
                </c:pt>
                <c:pt idx="5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4-7C47-BE76-2EB93470C6A3}"/>
            </c:ext>
          </c:extLst>
        </c:ser>
        <c:ser>
          <c:idx val="2"/>
          <c:order val="2"/>
          <c:tx>
            <c:strRef>
              <c:f>Charts!$F$1</c:f>
              <c:strCache>
                <c:ptCount val="1"/>
                <c:pt idx="0">
                  <c:v>all star +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3024076317383475E-2"/>
                  <c:y val="-5.3887024991441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A4-7C47-BE76-2EB93470C6A3}"/>
                </c:ext>
              </c:extLst>
            </c:dLbl>
            <c:dLbl>
              <c:idx val="2"/>
              <c:layout>
                <c:manualLayout>
                  <c:x val="-4.032367213972482E-2"/>
                  <c:y val="-4.028679794827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A4-7C47-BE76-2EB93470C6A3}"/>
                </c:ext>
              </c:extLst>
            </c:dLbl>
            <c:dLbl>
              <c:idx val="3"/>
              <c:layout>
                <c:manualLayout>
                  <c:x val="-2.4403791728069207E-2"/>
                  <c:y val="-3.3275837940831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A4-7C47-BE76-2EB93470C6A3}"/>
                </c:ext>
              </c:extLst>
            </c:dLbl>
            <c:dLbl>
              <c:idx val="4"/>
              <c:layout>
                <c:manualLayout>
                  <c:x val="-3.2100999394306481E-2"/>
                  <c:y val="-2.6060938034919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DA4-7C47-BE76-2EB93470C6A3}"/>
                </c:ext>
              </c:extLst>
            </c:dLbl>
            <c:dLbl>
              <c:idx val="5"/>
              <c:layout>
                <c:manualLayout>
                  <c:x val="-3.7870230163537251E-2"/>
                  <c:y val="-2.9539198904484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DA4-7C47-BE76-2EB93470C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Charts!$A$2:$A$7</c:f>
              <c:strCache>
                <c:ptCount val="6"/>
                <c:pt idx="0">
                  <c:v>Picks 1-5</c:v>
                </c:pt>
                <c:pt idx="1">
                  <c:v>Picks 6-10</c:v>
                </c:pt>
                <c:pt idx="2">
                  <c:v>Picks 11-15</c:v>
                </c:pt>
                <c:pt idx="3">
                  <c:v>Picks 16-20</c:v>
                </c:pt>
                <c:pt idx="4">
                  <c:v>Picks 21-25</c:v>
                </c:pt>
                <c:pt idx="5">
                  <c:v>Picks 26-30</c:v>
                </c:pt>
              </c:strCache>
            </c:strRef>
          </c:cat>
          <c:val>
            <c:numRef>
              <c:f>(Charts!$F$2,Charts!$F$3,Charts!$F$4,Charts!$F$5,Charts!$F$6,Charts!$F$7)</c:f>
              <c:numCache>
                <c:formatCode>0.00%</c:formatCode>
                <c:ptCount val="6"/>
                <c:pt idx="0">
                  <c:v>0.51111111111111107</c:v>
                </c:pt>
                <c:pt idx="1">
                  <c:v>0.1111111111111111</c:v>
                </c:pt>
                <c:pt idx="2">
                  <c:v>0.2</c:v>
                </c:pt>
                <c:pt idx="3">
                  <c:v>6.3829787234042548E-2</c:v>
                </c:pt>
                <c:pt idx="4">
                  <c:v>6.5217391304347824E-2</c:v>
                </c:pt>
                <c:pt idx="5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A4-7C47-BE76-2EB93470C6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5964352"/>
        <c:axId val="613861264"/>
      </c:lineChart>
      <c:catAx>
        <c:axId val="187596435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61264"/>
        <c:crosses val="autoZero"/>
        <c:auto val="1"/>
        <c:lblAlgn val="ctr"/>
        <c:lblOffset val="100"/>
        <c:noMultiLvlLbl val="0"/>
      </c:catAx>
      <c:valAx>
        <c:axId val="61386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96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Frequent Result per Pick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Charts!$J$2:$J$31</c:f>
              <c:strCache>
                <c:ptCount val="30"/>
                <c:pt idx="0">
                  <c:v>Pick 1</c:v>
                </c:pt>
                <c:pt idx="1">
                  <c:v>Pick 2</c:v>
                </c:pt>
                <c:pt idx="2">
                  <c:v>Pick 3</c:v>
                </c:pt>
                <c:pt idx="3">
                  <c:v>Pick 4</c:v>
                </c:pt>
                <c:pt idx="4">
                  <c:v>Pick 5</c:v>
                </c:pt>
                <c:pt idx="5">
                  <c:v>Pick 6</c:v>
                </c:pt>
                <c:pt idx="6">
                  <c:v>Pick 7</c:v>
                </c:pt>
                <c:pt idx="7">
                  <c:v>Pick 8</c:v>
                </c:pt>
                <c:pt idx="8">
                  <c:v>Pick 9</c:v>
                </c:pt>
                <c:pt idx="9">
                  <c:v>Pick 10</c:v>
                </c:pt>
                <c:pt idx="10">
                  <c:v>Pick 11</c:v>
                </c:pt>
                <c:pt idx="11">
                  <c:v>Pick 12</c:v>
                </c:pt>
                <c:pt idx="12">
                  <c:v>Pick 13</c:v>
                </c:pt>
                <c:pt idx="13">
                  <c:v>Pick 14</c:v>
                </c:pt>
                <c:pt idx="14">
                  <c:v>Pick 15</c:v>
                </c:pt>
                <c:pt idx="15">
                  <c:v>Pick 16</c:v>
                </c:pt>
                <c:pt idx="16">
                  <c:v>Pick 17</c:v>
                </c:pt>
                <c:pt idx="17">
                  <c:v>Pick 18</c:v>
                </c:pt>
                <c:pt idx="18">
                  <c:v>Pick 19</c:v>
                </c:pt>
                <c:pt idx="19">
                  <c:v>Pick 20</c:v>
                </c:pt>
                <c:pt idx="20">
                  <c:v>Pick 21</c:v>
                </c:pt>
                <c:pt idx="21">
                  <c:v>Pick 22</c:v>
                </c:pt>
                <c:pt idx="22">
                  <c:v>Pick 23</c:v>
                </c:pt>
                <c:pt idx="23">
                  <c:v>Pick 24</c:v>
                </c:pt>
                <c:pt idx="24">
                  <c:v>Pick 25</c:v>
                </c:pt>
                <c:pt idx="25">
                  <c:v>Pick 26</c:v>
                </c:pt>
                <c:pt idx="26">
                  <c:v>Pick 27</c:v>
                </c:pt>
                <c:pt idx="27">
                  <c:v>Pick 28</c:v>
                </c:pt>
                <c:pt idx="28">
                  <c:v>Pick 29</c:v>
                </c:pt>
                <c:pt idx="29">
                  <c:v>Pick 30</c:v>
                </c:pt>
              </c:strCache>
            </c:strRef>
          </c:cat>
          <c:val>
            <c:numRef>
              <c:f>Charts!$L$2:$L$31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4-F44A-BAC0-F19BA2DAE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345440"/>
        <c:axId val="928547520"/>
      </c:lineChart>
      <c:catAx>
        <c:axId val="9283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47520"/>
        <c:crosses val="autoZero"/>
        <c:auto val="1"/>
        <c:lblAlgn val="ctr"/>
        <c:lblOffset val="100"/>
        <c:tickMarkSkip val="1"/>
        <c:noMultiLvlLbl val="0"/>
      </c:catAx>
      <c:valAx>
        <c:axId val="9285475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4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</xdr:colOff>
      <xdr:row>8</xdr:row>
      <xdr:rowOff>132080</xdr:rowOff>
    </xdr:from>
    <xdr:to>
      <xdr:col>8</xdr:col>
      <xdr:colOff>24428</xdr:colOff>
      <xdr:row>30</xdr:row>
      <xdr:rowOff>171236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E8DD6-E53E-8147-3E0A-A1EFE01ED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44920</xdr:colOff>
      <xdr:row>0</xdr:row>
      <xdr:rowOff>175683</xdr:rowOff>
    </xdr:from>
    <xdr:to>
      <xdr:col>20</xdr:col>
      <xdr:colOff>812800</xdr:colOff>
      <xdr:row>31</xdr:row>
      <xdr:rowOff>120885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59956C-FAF4-1F7D-EC34-239896A3D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28539</xdr:colOff>
      <xdr:row>30</xdr:row>
      <xdr:rowOff>175428</xdr:rowOff>
    </xdr:from>
    <xdr:to>
      <xdr:col>8</xdr:col>
      <xdr:colOff>14268</xdr:colOff>
      <xdr:row>52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04E13B-E842-4AFB-3D3B-67399C204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82764</xdr:colOff>
      <xdr:row>32</xdr:row>
      <xdr:rowOff>76769</xdr:rowOff>
    </xdr:from>
    <xdr:to>
      <xdr:col>21</xdr:col>
      <xdr:colOff>0</xdr:colOff>
      <xdr:row>49</xdr:row>
      <xdr:rowOff>156967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9FBFAB-41E0-2C3C-8D4A-9C8BE0078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</xdr:colOff>
      <xdr:row>53</xdr:row>
      <xdr:rowOff>6350</xdr:rowOff>
    </xdr:from>
    <xdr:to>
      <xdr:col>8</xdr:col>
      <xdr:colOff>12700</xdr:colOff>
      <xdr:row>72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BD0D50-1EB5-CB82-E6D0-F3B3ACEF7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171450</xdr:colOff>
      <xdr:row>0</xdr:row>
      <xdr:rowOff>146050</xdr:rowOff>
    </xdr:from>
    <xdr:to>
      <xdr:col>30</xdr:col>
      <xdr:colOff>747059</xdr:colOff>
      <xdr:row>31</xdr:row>
      <xdr:rowOff>88900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3414352-CCA6-F178-22DD-8CDAC359C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workbookViewId="0">
      <pane ySplit="2" topLeftCell="A3" activePane="bottomLeft" state="frozen"/>
      <selection pane="bottomLeft" activeCell="H128" sqref="H128"/>
    </sheetView>
  </sheetViews>
  <sheetFormatPr baseColWidth="10" defaultColWidth="8.83203125" defaultRowHeight="15" x14ac:dyDescent="0.2"/>
  <cols>
    <col min="1" max="6" width="25" customWidth="1"/>
  </cols>
  <sheetData>
    <row r="1" spans="1:6" ht="25" customHeight="1" x14ac:dyDescent="0.3">
      <c r="A1" s="20" t="s">
        <v>0</v>
      </c>
      <c r="B1" s="21"/>
      <c r="C1" s="21"/>
      <c r="D1" s="21"/>
      <c r="E1" s="21"/>
      <c r="F1" s="21"/>
    </row>
    <row r="2" spans="1:6" ht="28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</row>
    <row r="3" spans="1:6" x14ac:dyDescent="0.2">
      <c r="A3" s="1">
        <v>2015</v>
      </c>
      <c r="B3" s="1">
        <v>1</v>
      </c>
      <c r="C3" s="2" t="s">
        <v>7</v>
      </c>
      <c r="D3" s="2" t="s">
        <v>8</v>
      </c>
      <c r="E3" s="2" t="s">
        <v>9</v>
      </c>
      <c r="F3" s="3" t="s">
        <v>10</v>
      </c>
    </row>
    <row r="4" spans="1:6" x14ac:dyDescent="0.2">
      <c r="A4" s="1">
        <v>2016</v>
      </c>
      <c r="B4" s="1">
        <v>1</v>
      </c>
      <c r="C4" s="2" t="s">
        <v>11</v>
      </c>
      <c r="D4" s="2" t="s">
        <v>12</v>
      </c>
      <c r="E4" s="2" t="s">
        <v>13</v>
      </c>
      <c r="F4" s="4" t="s">
        <v>14</v>
      </c>
    </row>
    <row r="5" spans="1:6" x14ac:dyDescent="0.2">
      <c r="A5" s="1">
        <v>2017</v>
      </c>
      <c r="B5" s="1">
        <v>1</v>
      </c>
      <c r="C5" s="2" t="s">
        <v>11</v>
      </c>
      <c r="D5" s="2" t="s">
        <v>15</v>
      </c>
      <c r="E5" s="2" t="s">
        <v>16</v>
      </c>
      <c r="F5" s="5" t="s">
        <v>17</v>
      </c>
    </row>
    <row r="6" spans="1:6" x14ac:dyDescent="0.2">
      <c r="A6" s="1">
        <v>2018</v>
      </c>
      <c r="B6" s="1">
        <v>1</v>
      </c>
      <c r="C6" s="2" t="s">
        <v>18</v>
      </c>
      <c r="D6" s="2" t="s">
        <v>19</v>
      </c>
      <c r="E6" s="2" t="s">
        <v>20</v>
      </c>
      <c r="F6" s="7" t="s">
        <v>21</v>
      </c>
    </row>
    <row r="7" spans="1:6" x14ac:dyDescent="0.2">
      <c r="A7" s="1">
        <v>2019</v>
      </c>
      <c r="B7" s="1">
        <v>1</v>
      </c>
      <c r="C7" s="2" t="s">
        <v>22</v>
      </c>
      <c r="D7" s="2" t="s">
        <v>23</v>
      </c>
      <c r="E7" s="2" t="s">
        <v>24</v>
      </c>
      <c r="F7" s="4" t="s">
        <v>14</v>
      </c>
    </row>
    <row r="8" spans="1:6" x14ac:dyDescent="0.2">
      <c r="A8" s="1">
        <v>2020</v>
      </c>
      <c r="B8" s="1">
        <v>1</v>
      </c>
      <c r="C8" s="2" t="s">
        <v>7</v>
      </c>
      <c r="D8" s="2" t="s">
        <v>25</v>
      </c>
      <c r="E8" s="2" t="s">
        <v>26</v>
      </c>
      <c r="F8" s="3" t="s">
        <v>10</v>
      </c>
    </row>
    <row r="9" spans="1:6" x14ac:dyDescent="0.2">
      <c r="A9" s="1">
        <v>2021</v>
      </c>
      <c r="B9" s="1">
        <v>1</v>
      </c>
      <c r="C9" s="2" t="s">
        <v>27</v>
      </c>
      <c r="D9" s="2" t="s">
        <v>28</v>
      </c>
      <c r="E9" s="2" t="s">
        <v>29</v>
      </c>
      <c r="F9" s="3" t="s">
        <v>10</v>
      </c>
    </row>
    <row r="10" spans="1:6" x14ac:dyDescent="0.2">
      <c r="A10" s="1">
        <v>2022</v>
      </c>
      <c r="B10" s="1">
        <v>1</v>
      </c>
      <c r="C10" s="2" t="s">
        <v>30</v>
      </c>
      <c r="D10" s="2" t="s">
        <v>31</v>
      </c>
      <c r="E10" s="2" t="s">
        <v>24</v>
      </c>
      <c r="F10" s="4" t="s">
        <v>14</v>
      </c>
    </row>
    <row r="11" spans="1:6" x14ac:dyDescent="0.2">
      <c r="A11" s="1">
        <v>2023</v>
      </c>
      <c r="B11" s="1">
        <v>1</v>
      </c>
      <c r="C11" s="2" t="s">
        <v>32</v>
      </c>
      <c r="D11" s="2" t="s">
        <v>33</v>
      </c>
      <c r="E11" s="2" t="s">
        <v>34</v>
      </c>
      <c r="F11" s="3" t="s">
        <v>10</v>
      </c>
    </row>
    <row r="12" spans="1:6" x14ac:dyDescent="0.2">
      <c r="A12" s="1">
        <v>2024</v>
      </c>
      <c r="B12" s="1">
        <v>1</v>
      </c>
      <c r="C12" s="2" t="s">
        <v>35</v>
      </c>
      <c r="D12" s="2" t="s">
        <v>36</v>
      </c>
      <c r="E12" s="2" t="s">
        <v>34</v>
      </c>
      <c r="F12" s="8" t="s">
        <v>37</v>
      </c>
    </row>
    <row r="13" spans="1:6" x14ac:dyDescent="0.2">
      <c r="A13" s="1">
        <v>2025</v>
      </c>
      <c r="B13" s="1">
        <v>1</v>
      </c>
      <c r="C13" s="2" t="s">
        <v>38</v>
      </c>
      <c r="D13" s="2" t="s">
        <v>39</v>
      </c>
      <c r="E13" s="2" t="s">
        <v>24</v>
      </c>
      <c r="F13" s="8" t="s">
        <v>37</v>
      </c>
    </row>
    <row r="14" spans="1:6" x14ac:dyDescent="0.2">
      <c r="A14" s="1">
        <v>2015</v>
      </c>
      <c r="B14" s="1">
        <v>2</v>
      </c>
      <c r="C14" s="2" t="s">
        <v>40</v>
      </c>
      <c r="D14" s="2" t="s">
        <v>41</v>
      </c>
      <c r="E14" s="2" t="s">
        <v>42</v>
      </c>
      <c r="F14" s="4" t="s">
        <v>14</v>
      </c>
    </row>
    <row r="15" spans="1:6" x14ac:dyDescent="0.2">
      <c r="A15" s="1">
        <v>2016</v>
      </c>
      <c r="B15" s="1">
        <v>2</v>
      </c>
      <c r="C15" s="2" t="s">
        <v>40</v>
      </c>
      <c r="D15" s="2" t="s">
        <v>43</v>
      </c>
      <c r="E15" s="2" t="s">
        <v>24</v>
      </c>
      <c r="F15" s="4" t="s">
        <v>14</v>
      </c>
    </row>
    <row r="16" spans="1:6" x14ac:dyDescent="0.2">
      <c r="A16" s="1">
        <v>2017</v>
      </c>
      <c r="B16" s="1">
        <v>2</v>
      </c>
      <c r="C16" s="2" t="s">
        <v>40</v>
      </c>
      <c r="D16" s="2" t="s">
        <v>44</v>
      </c>
      <c r="E16" s="2" t="s">
        <v>45</v>
      </c>
      <c r="F16" s="7" t="s">
        <v>21</v>
      </c>
    </row>
    <row r="17" spans="1:6" x14ac:dyDescent="0.2">
      <c r="A17" s="1">
        <v>2018</v>
      </c>
      <c r="B17" s="1">
        <v>2</v>
      </c>
      <c r="C17" s="2" t="s">
        <v>46</v>
      </c>
      <c r="D17" s="2" t="s">
        <v>47</v>
      </c>
      <c r="E17" s="2" t="s">
        <v>24</v>
      </c>
      <c r="F17" s="5" t="s">
        <v>17</v>
      </c>
    </row>
    <row r="18" spans="1:6" x14ac:dyDescent="0.2">
      <c r="A18" s="1">
        <v>2019</v>
      </c>
      <c r="B18" s="1">
        <v>2</v>
      </c>
      <c r="C18" s="2" t="s">
        <v>48</v>
      </c>
      <c r="D18" s="2" t="s">
        <v>49</v>
      </c>
      <c r="E18" s="2" t="s">
        <v>50</v>
      </c>
      <c r="F18" s="4" t="s">
        <v>14</v>
      </c>
    </row>
    <row r="19" spans="1:6" x14ac:dyDescent="0.2">
      <c r="A19" s="1">
        <v>2020</v>
      </c>
      <c r="B19" s="1">
        <v>2</v>
      </c>
      <c r="C19" s="2" t="s">
        <v>51</v>
      </c>
      <c r="D19" s="2" t="s">
        <v>52</v>
      </c>
      <c r="E19" s="2" t="s">
        <v>53</v>
      </c>
      <c r="F19" s="5" t="s">
        <v>17</v>
      </c>
    </row>
    <row r="20" spans="1:6" x14ac:dyDescent="0.2">
      <c r="A20" s="1">
        <v>2021</v>
      </c>
      <c r="B20" s="1">
        <v>2</v>
      </c>
      <c r="C20" s="2" t="s">
        <v>54</v>
      </c>
      <c r="D20" s="2" t="s">
        <v>55</v>
      </c>
      <c r="E20" s="2" t="s">
        <v>56</v>
      </c>
      <c r="F20" s="7" t="s">
        <v>21</v>
      </c>
    </row>
    <row r="21" spans="1:6" x14ac:dyDescent="0.2">
      <c r="A21" s="1">
        <v>2022</v>
      </c>
      <c r="B21" s="1">
        <v>2</v>
      </c>
      <c r="C21" s="2" t="s">
        <v>57</v>
      </c>
      <c r="D21" s="2" t="s">
        <v>58</v>
      </c>
      <c r="E21" s="2" t="s">
        <v>59</v>
      </c>
      <c r="F21" s="4" t="s">
        <v>14</v>
      </c>
    </row>
    <row r="22" spans="1:6" x14ac:dyDescent="0.2">
      <c r="A22" s="1">
        <v>2023</v>
      </c>
      <c r="B22" s="1">
        <v>2</v>
      </c>
      <c r="C22" s="2" t="s">
        <v>60</v>
      </c>
      <c r="D22" s="2" t="s">
        <v>61</v>
      </c>
      <c r="E22" s="2" t="s">
        <v>62</v>
      </c>
      <c r="F22" s="6" t="s">
        <v>63</v>
      </c>
    </row>
    <row r="23" spans="1:6" x14ac:dyDescent="0.2">
      <c r="A23" s="1">
        <v>2024</v>
      </c>
      <c r="B23" s="1">
        <v>2</v>
      </c>
      <c r="C23" s="2" t="s">
        <v>64</v>
      </c>
      <c r="D23" s="2" t="s">
        <v>65</v>
      </c>
      <c r="E23" s="2" t="s">
        <v>34</v>
      </c>
      <c r="F23" s="8" t="s">
        <v>37</v>
      </c>
    </row>
    <row r="24" spans="1:6" x14ac:dyDescent="0.2">
      <c r="A24" s="1">
        <v>2025</v>
      </c>
      <c r="B24" s="1">
        <v>2</v>
      </c>
      <c r="C24" s="2" t="s">
        <v>32</v>
      </c>
      <c r="D24" s="2" t="s">
        <v>66</v>
      </c>
      <c r="E24" s="2" t="s">
        <v>67</v>
      </c>
      <c r="F24" s="8" t="s">
        <v>37</v>
      </c>
    </row>
    <row r="25" spans="1:6" x14ac:dyDescent="0.2">
      <c r="A25" s="1">
        <v>2015</v>
      </c>
      <c r="B25" s="1">
        <v>3</v>
      </c>
      <c r="C25" s="2" t="s">
        <v>11</v>
      </c>
      <c r="D25" s="2" t="s">
        <v>68</v>
      </c>
      <c r="E25" s="2" t="s">
        <v>24</v>
      </c>
      <c r="F25" s="5" t="s">
        <v>17</v>
      </c>
    </row>
    <row r="26" spans="1:6" x14ac:dyDescent="0.2">
      <c r="A26" s="1">
        <v>2016</v>
      </c>
      <c r="B26" s="1">
        <v>3</v>
      </c>
      <c r="C26" s="2" t="s">
        <v>69</v>
      </c>
      <c r="D26" s="2" t="s">
        <v>70</v>
      </c>
      <c r="E26" s="2" t="s">
        <v>71</v>
      </c>
      <c r="F26" s="3" t="s">
        <v>10</v>
      </c>
    </row>
    <row r="27" spans="1:6" x14ac:dyDescent="0.2">
      <c r="A27" s="1">
        <v>2017</v>
      </c>
      <c r="B27" s="1">
        <v>3</v>
      </c>
      <c r="C27" s="2" t="s">
        <v>69</v>
      </c>
      <c r="D27" s="2" t="s">
        <v>72</v>
      </c>
      <c r="E27" s="2" t="s">
        <v>24</v>
      </c>
      <c r="F27" s="3" t="s">
        <v>10</v>
      </c>
    </row>
    <row r="28" spans="1:6" x14ac:dyDescent="0.2">
      <c r="A28" s="1">
        <v>2018</v>
      </c>
      <c r="B28" s="1">
        <v>3</v>
      </c>
      <c r="C28" s="2" t="s">
        <v>35</v>
      </c>
      <c r="D28" s="2" t="s">
        <v>73</v>
      </c>
      <c r="E28" s="2" t="s">
        <v>74</v>
      </c>
      <c r="F28" s="3" t="s">
        <v>10</v>
      </c>
    </row>
    <row r="29" spans="1:6" x14ac:dyDescent="0.2">
      <c r="A29" s="1">
        <v>2019</v>
      </c>
      <c r="B29" s="1">
        <v>3</v>
      </c>
      <c r="C29" s="2" t="s">
        <v>75</v>
      </c>
      <c r="D29" s="2" t="s">
        <v>76</v>
      </c>
      <c r="E29" s="2" t="s">
        <v>24</v>
      </c>
      <c r="F29" s="7" t="s">
        <v>21</v>
      </c>
    </row>
    <row r="30" spans="1:6" x14ac:dyDescent="0.2">
      <c r="A30" s="1">
        <v>2020</v>
      </c>
      <c r="B30" s="1">
        <v>3</v>
      </c>
      <c r="C30" s="2" t="s">
        <v>60</v>
      </c>
      <c r="D30" s="2" t="s">
        <v>77</v>
      </c>
      <c r="E30" s="2" t="s">
        <v>78</v>
      </c>
      <c r="F30" s="4" t="s">
        <v>14</v>
      </c>
    </row>
    <row r="31" spans="1:6" x14ac:dyDescent="0.2">
      <c r="A31" s="1">
        <v>2021</v>
      </c>
      <c r="B31" s="1">
        <v>3</v>
      </c>
      <c r="C31" s="2" t="s">
        <v>79</v>
      </c>
      <c r="D31" s="2" t="s">
        <v>80</v>
      </c>
      <c r="E31" s="2" t="s">
        <v>81</v>
      </c>
      <c r="F31" s="4" t="s">
        <v>14</v>
      </c>
    </row>
    <row r="32" spans="1:6" x14ac:dyDescent="0.2">
      <c r="A32" s="1">
        <v>2022</v>
      </c>
      <c r="B32" s="1">
        <v>3</v>
      </c>
      <c r="C32" s="2" t="s">
        <v>54</v>
      </c>
      <c r="D32" s="2" t="s">
        <v>82</v>
      </c>
      <c r="E32" s="2" t="s">
        <v>83</v>
      </c>
      <c r="F32" s="7" t="s">
        <v>21</v>
      </c>
    </row>
    <row r="33" spans="1:6" x14ac:dyDescent="0.2">
      <c r="A33" s="1">
        <v>2023</v>
      </c>
      <c r="B33" s="1">
        <v>3</v>
      </c>
      <c r="C33" s="2" t="s">
        <v>84</v>
      </c>
      <c r="D33" s="2" t="s">
        <v>85</v>
      </c>
      <c r="E33" s="2" t="s">
        <v>56</v>
      </c>
      <c r="F33" s="5" t="s">
        <v>17</v>
      </c>
    </row>
    <row r="34" spans="1:6" x14ac:dyDescent="0.2">
      <c r="A34" s="1">
        <v>2024</v>
      </c>
      <c r="B34" s="1">
        <v>3</v>
      </c>
      <c r="C34" s="2" t="s">
        <v>54</v>
      </c>
      <c r="D34" s="2" t="s">
        <v>86</v>
      </c>
      <c r="E34" s="2" t="s">
        <v>9</v>
      </c>
      <c r="F34" s="8" t="s">
        <v>37</v>
      </c>
    </row>
    <row r="35" spans="1:6" x14ac:dyDescent="0.2">
      <c r="A35" s="1">
        <v>2025</v>
      </c>
      <c r="B35" s="1">
        <v>3</v>
      </c>
      <c r="C35" s="2" t="s">
        <v>11</v>
      </c>
      <c r="D35" s="2" t="s">
        <v>87</v>
      </c>
      <c r="E35" s="2" t="s">
        <v>88</v>
      </c>
      <c r="F35" s="8" t="s">
        <v>37</v>
      </c>
    </row>
    <row r="36" spans="1:6" x14ac:dyDescent="0.2">
      <c r="A36" s="1">
        <v>2015</v>
      </c>
      <c r="B36" s="1">
        <v>4</v>
      </c>
      <c r="C36" s="2" t="s">
        <v>75</v>
      </c>
      <c r="D36" s="2" t="s">
        <v>89</v>
      </c>
      <c r="E36" s="2" t="s">
        <v>90</v>
      </c>
      <c r="F36" s="4" t="s">
        <v>14</v>
      </c>
    </row>
    <row r="37" spans="1:6" x14ac:dyDescent="0.2">
      <c r="A37" s="1">
        <v>2016</v>
      </c>
      <c r="B37" s="1">
        <v>4</v>
      </c>
      <c r="C37" s="2" t="s">
        <v>18</v>
      </c>
      <c r="D37" s="2" t="s">
        <v>91</v>
      </c>
      <c r="E37" s="2" t="s">
        <v>92</v>
      </c>
      <c r="F37" s="5" t="s">
        <v>17</v>
      </c>
    </row>
    <row r="38" spans="1:6" x14ac:dyDescent="0.2">
      <c r="A38" s="1">
        <v>2017</v>
      </c>
      <c r="B38" s="1">
        <v>4</v>
      </c>
      <c r="C38" s="2" t="s">
        <v>18</v>
      </c>
      <c r="D38" s="2" t="s">
        <v>93</v>
      </c>
      <c r="E38" s="2" t="s">
        <v>94</v>
      </c>
      <c r="F38" s="5" t="s">
        <v>17</v>
      </c>
    </row>
    <row r="39" spans="1:6" x14ac:dyDescent="0.2">
      <c r="A39" s="1">
        <v>2018</v>
      </c>
      <c r="B39" s="1">
        <v>4</v>
      </c>
      <c r="C39" s="2" t="s">
        <v>48</v>
      </c>
      <c r="D39" s="2" t="s">
        <v>95</v>
      </c>
      <c r="E39" s="2" t="s">
        <v>96</v>
      </c>
      <c r="F39" s="4" t="s">
        <v>14</v>
      </c>
    </row>
    <row r="40" spans="1:6" x14ac:dyDescent="0.2">
      <c r="A40" s="1">
        <v>2019</v>
      </c>
      <c r="B40" s="1">
        <v>4</v>
      </c>
      <c r="C40" s="2" t="s">
        <v>40</v>
      </c>
      <c r="D40" s="2" t="s">
        <v>97</v>
      </c>
      <c r="E40" s="2" t="s">
        <v>98</v>
      </c>
      <c r="F40" s="7" t="s">
        <v>21</v>
      </c>
    </row>
    <row r="41" spans="1:6" x14ac:dyDescent="0.2">
      <c r="A41" s="1">
        <v>2020</v>
      </c>
      <c r="B41" s="1">
        <v>4</v>
      </c>
      <c r="C41" s="2" t="s">
        <v>99</v>
      </c>
      <c r="D41" s="2" t="s">
        <v>100</v>
      </c>
      <c r="E41" s="2" t="s">
        <v>101</v>
      </c>
      <c r="F41" s="6" t="s">
        <v>63</v>
      </c>
    </row>
    <row r="42" spans="1:6" x14ac:dyDescent="0.2">
      <c r="A42" s="1">
        <v>2021</v>
      </c>
      <c r="B42" s="1">
        <v>4</v>
      </c>
      <c r="C42" s="2" t="s">
        <v>102</v>
      </c>
      <c r="D42" s="2" t="s">
        <v>103</v>
      </c>
      <c r="E42" s="2" t="s">
        <v>101</v>
      </c>
      <c r="F42" s="4" t="s">
        <v>14</v>
      </c>
    </row>
    <row r="43" spans="1:6" x14ac:dyDescent="0.2">
      <c r="A43" s="1">
        <v>2022</v>
      </c>
      <c r="B43" s="1">
        <v>4</v>
      </c>
      <c r="C43" s="2" t="s">
        <v>46</v>
      </c>
      <c r="D43" s="2" t="s">
        <v>104</v>
      </c>
      <c r="E43" s="2" t="s">
        <v>105</v>
      </c>
      <c r="F43" s="7" t="s">
        <v>21</v>
      </c>
    </row>
    <row r="44" spans="1:6" x14ac:dyDescent="0.2">
      <c r="A44" s="1">
        <v>2023</v>
      </c>
      <c r="B44" s="1">
        <v>4</v>
      </c>
      <c r="C44" s="2" t="s">
        <v>54</v>
      </c>
      <c r="D44" s="2" t="s">
        <v>106</v>
      </c>
      <c r="E44" s="2" t="s">
        <v>107</v>
      </c>
      <c r="F44" s="4" t="s">
        <v>14</v>
      </c>
    </row>
    <row r="45" spans="1:6" x14ac:dyDescent="0.2">
      <c r="A45" s="1">
        <v>2024</v>
      </c>
      <c r="B45" s="1">
        <v>4</v>
      </c>
      <c r="C45" s="2" t="s">
        <v>32</v>
      </c>
      <c r="D45" s="2" t="s">
        <v>108</v>
      </c>
      <c r="E45" s="2" t="s">
        <v>109</v>
      </c>
      <c r="F45" s="8" t="s">
        <v>37</v>
      </c>
    </row>
    <row r="46" spans="1:6" x14ac:dyDescent="0.2">
      <c r="A46" s="1">
        <v>2025</v>
      </c>
      <c r="B46" s="1">
        <v>4</v>
      </c>
      <c r="C46" s="2" t="s">
        <v>60</v>
      </c>
      <c r="D46" s="2" t="s">
        <v>110</v>
      </c>
      <c r="E46" s="2" t="s">
        <v>24</v>
      </c>
      <c r="F46" s="8" t="s">
        <v>37</v>
      </c>
    </row>
    <row r="47" spans="1:6" x14ac:dyDescent="0.2">
      <c r="A47" s="1">
        <v>2015</v>
      </c>
      <c r="B47" s="1">
        <v>5</v>
      </c>
      <c r="C47" s="2" t="s">
        <v>30</v>
      </c>
      <c r="D47" s="2" t="s">
        <v>111</v>
      </c>
      <c r="E47" s="2" t="s">
        <v>92</v>
      </c>
      <c r="F47" s="5" t="s">
        <v>17</v>
      </c>
    </row>
    <row r="48" spans="1:6" x14ac:dyDescent="0.2">
      <c r="A48" s="1">
        <v>2016</v>
      </c>
      <c r="B48" s="1">
        <v>5</v>
      </c>
      <c r="C48" s="2" t="s">
        <v>7</v>
      </c>
      <c r="D48" s="2" t="s">
        <v>112</v>
      </c>
      <c r="E48" s="2" t="s">
        <v>113</v>
      </c>
      <c r="F48" s="6" t="s">
        <v>63</v>
      </c>
    </row>
    <row r="49" spans="1:6" x14ac:dyDescent="0.2">
      <c r="A49" s="1">
        <v>2017</v>
      </c>
      <c r="B49" s="1">
        <v>5</v>
      </c>
      <c r="C49" s="2" t="s">
        <v>46</v>
      </c>
      <c r="D49" s="2" t="s">
        <v>114</v>
      </c>
      <c r="E49" s="2" t="s">
        <v>9</v>
      </c>
      <c r="F49" s="4" t="s">
        <v>14</v>
      </c>
    </row>
    <row r="50" spans="1:6" x14ac:dyDescent="0.2">
      <c r="A50" s="1">
        <v>2018</v>
      </c>
      <c r="B50" s="1">
        <v>5</v>
      </c>
      <c r="C50" s="2" t="s">
        <v>38</v>
      </c>
      <c r="D50" s="2" t="s">
        <v>115</v>
      </c>
      <c r="E50" s="2" t="s">
        <v>116</v>
      </c>
      <c r="F50" s="4" t="s">
        <v>14</v>
      </c>
    </row>
    <row r="51" spans="1:6" x14ac:dyDescent="0.2">
      <c r="A51" s="1">
        <v>2019</v>
      </c>
      <c r="B51" s="1">
        <v>5</v>
      </c>
      <c r="C51" s="2" t="s">
        <v>79</v>
      </c>
      <c r="D51" s="2" t="s">
        <v>117</v>
      </c>
      <c r="E51" s="2" t="s">
        <v>118</v>
      </c>
      <c r="F51" s="4" t="s">
        <v>14</v>
      </c>
    </row>
    <row r="52" spans="1:6" x14ac:dyDescent="0.2">
      <c r="A52" s="1">
        <v>2020</v>
      </c>
      <c r="B52" s="1">
        <v>5</v>
      </c>
      <c r="C52" s="2" t="s">
        <v>79</v>
      </c>
      <c r="D52" s="2" t="s">
        <v>119</v>
      </c>
      <c r="E52" s="2" t="s">
        <v>83</v>
      </c>
      <c r="F52" s="6" t="s">
        <v>63</v>
      </c>
    </row>
    <row r="53" spans="1:6" x14ac:dyDescent="0.2">
      <c r="A53" s="1">
        <v>2021</v>
      </c>
      <c r="B53" s="1">
        <v>5</v>
      </c>
      <c r="C53" s="2" t="s">
        <v>30</v>
      </c>
      <c r="D53" s="2" t="s">
        <v>120</v>
      </c>
      <c r="E53" s="2" t="s">
        <v>59</v>
      </c>
      <c r="F53" s="7" t="s">
        <v>21</v>
      </c>
    </row>
    <row r="54" spans="1:6" x14ac:dyDescent="0.2">
      <c r="A54" s="1">
        <v>2022</v>
      </c>
      <c r="B54" s="1">
        <v>5</v>
      </c>
      <c r="C54" s="2" t="s">
        <v>27</v>
      </c>
      <c r="D54" s="2" t="s">
        <v>121</v>
      </c>
      <c r="E54" s="2" t="s">
        <v>122</v>
      </c>
      <c r="F54" s="6" t="s">
        <v>63</v>
      </c>
    </row>
    <row r="55" spans="1:6" x14ac:dyDescent="0.2">
      <c r="A55" s="1">
        <v>2023</v>
      </c>
      <c r="B55" s="1">
        <v>5</v>
      </c>
      <c r="C55" s="2" t="s">
        <v>27</v>
      </c>
      <c r="D55" s="2" t="s">
        <v>123</v>
      </c>
      <c r="E55" s="2" t="s">
        <v>107</v>
      </c>
      <c r="F55" s="6" t="s">
        <v>63</v>
      </c>
    </row>
    <row r="56" spans="1:6" x14ac:dyDescent="0.2">
      <c r="A56" s="1">
        <v>2024</v>
      </c>
      <c r="B56" s="1">
        <v>5</v>
      </c>
      <c r="C56" s="2" t="s">
        <v>27</v>
      </c>
      <c r="D56" s="2" t="s">
        <v>124</v>
      </c>
      <c r="E56" s="2" t="s">
        <v>56</v>
      </c>
      <c r="F56" s="8" t="s">
        <v>37</v>
      </c>
    </row>
    <row r="57" spans="1:6" x14ac:dyDescent="0.2">
      <c r="A57" s="1">
        <v>2025</v>
      </c>
      <c r="B57" s="1">
        <v>5</v>
      </c>
      <c r="C57" s="2" t="s">
        <v>125</v>
      </c>
      <c r="D57" s="2" t="s">
        <v>126</v>
      </c>
      <c r="E57" s="2" t="s">
        <v>67</v>
      </c>
      <c r="F57" s="8" t="s">
        <v>37</v>
      </c>
    </row>
    <row r="58" spans="1:6" x14ac:dyDescent="0.2">
      <c r="A58" s="1">
        <v>2015</v>
      </c>
      <c r="B58" s="1">
        <v>6</v>
      </c>
      <c r="C58" s="2" t="s">
        <v>46</v>
      </c>
      <c r="D58" s="2" t="s">
        <v>127</v>
      </c>
      <c r="E58" s="2" t="s">
        <v>9</v>
      </c>
      <c r="F58" s="6" t="s">
        <v>63</v>
      </c>
    </row>
    <row r="59" spans="1:6" x14ac:dyDescent="0.2">
      <c r="A59" s="1">
        <v>2016</v>
      </c>
      <c r="B59" s="1">
        <v>6</v>
      </c>
      <c r="C59" s="2" t="s">
        <v>22</v>
      </c>
      <c r="D59" s="2" t="s">
        <v>128</v>
      </c>
      <c r="E59" s="2" t="s">
        <v>116</v>
      </c>
      <c r="F59" s="7" t="s">
        <v>21</v>
      </c>
    </row>
    <row r="60" spans="1:6" x14ac:dyDescent="0.2">
      <c r="A60" s="1">
        <v>2017</v>
      </c>
      <c r="B60" s="1">
        <v>6</v>
      </c>
      <c r="C60" s="2" t="s">
        <v>30</v>
      </c>
      <c r="D60" s="2" t="s">
        <v>129</v>
      </c>
      <c r="E60" s="2" t="s">
        <v>101</v>
      </c>
      <c r="F60" s="6" t="s">
        <v>63</v>
      </c>
    </row>
    <row r="61" spans="1:6" x14ac:dyDescent="0.2">
      <c r="A61" s="1">
        <v>2018</v>
      </c>
      <c r="B61" s="1">
        <v>6</v>
      </c>
      <c r="C61" s="2" t="s">
        <v>30</v>
      </c>
      <c r="D61" s="2" t="s">
        <v>130</v>
      </c>
      <c r="E61" s="2" t="s">
        <v>131</v>
      </c>
      <c r="F61" s="5" t="s">
        <v>17</v>
      </c>
    </row>
    <row r="62" spans="1:6" x14ac:dyDescent="0.2">
      <c r="A62" s="1">
        <v>2019</v>
      </c>
      <c r="B62" s="1">
        <v>6</v>
      </c>
      <c r="C62" s="2" t="s">
        <v>18</v>
      </c>
      <c r="D62" s="2" t="s">
        <v>132</v>
      </c>
      <c r="E62" s="2" t="s">
        <v>133</v>
      </c>
      <c r="F62" s="5" t="s">
        <v>17</v>
      </c>
    </row>
    <row r="63" spans="1:6" x14ac:dyDescent="0.2">
      <c r="A63" s="1">
        <v>2020</v>
      </c>
      <c r="B63" s="1">
        <v>6</v>
      </c>
      <c r="C63" s="2" t="s">
        <v>35</v>
      </c>
      <c r="D63" s="2" t="s">
        <v>134</v>
      </c>
      <c r="E63" s="2" t="s">
        <v>81</v>
      </c>
      <c r="F63" s="7" t="s">
        <v>21</v>
      </c>
    </row>
    <row r="64" spans="1:6" x14ac:dyDescent="0.2">
      <c r="A64" s="1">
        <v>2021</v>
      </c>
      <c r="B64" s="1">
        <v>6</v>
      </c>
      <c r="C64" s="2" t="s">
        <v>57</v>
      </c>
      <c r="D64" s="2" t="s">
        <v>135</v>
      </c>
      <c r="E64" s="2" t="s">
        <v>136</v>
      </c>
      <c r="F64" s="7" t="s">
        <v>21</v>
      </c>
    </row>
    <row r="65" spans="1:6" x14ac:dyDescent="0.2">
      <c r="A65" s="1">
        <v>2022</v>
      </c>
      <c r="B65" s="1">
        <v>6</v>
      </c>
      <c r="C65" s="2" t="s">
        <v>137</v>
      </c>
      <c r="D65" s="2" t="s">
        <v>138</v>
      </c>
      <c r="E65" s="2" t="s">
        <v>20</v>
      </c>
      <c r="F65" s="7" t="s">
        <v>21</v>
      </c>
    </row>
    <row r="66" spans="1:6" x14ac:dyDescent="0.2">
      <c r="A66" s="1">
        <v>2023</v>
      </c>
      <c r="B66" s="1">
        <v>6</v>
      </c>
      <c r="C66" s="2" t="s">
        <v>30</v>
      </c>
      <c r="D66" s="2" t="s">
        <v>139</v>
      </c>
      <c r="E66" s="2" t="s">
        <v>140</v>
      </c>
      <c r="F66" s="8" t="s">
        <v>37</v>
      </c>
    </row>
    <row r="67" spans="1:6" x14ac:dyDescent="0.2">
      <c r="A67" s="1">
        <v>2024</v>
      </c>
      <c r="B67" s="1">
        <v>6</v>
      </c>
      <c r="C67" s="2" t="s">
        <v>60</v>
      </c>
      <c r="D67" s="2" t="s">
        <v>141</v>
      </c>
      <c r="E67" s="2" t="s">
        <v>34</v>
      </c>
      <c r="F67" s="8" t="s">
        <v>37</v>
      </c>
    </row>
    <row r="68" spans="1:6" x14ac:dyDescent="0.2">
      <c r="A68" s="1">
        <v>2025</v>
      </c>
      <c r="B68" s="1">
        <v>6</v>
      </c>
      <c r="C68" s="2" t="s">
        <v>64</v>
      </c>
      <c r="D68" s="2" t="s">
        <v>142</v>
      </c>
      <c r="E68" s="2" t="s">
        <v>131</v>
      </c>
      <c r="F68" s="8" t="s">
        <v>37</v>
      </c>
    </row>
    <row r="69" spans="1:6" x14ac:dyDescent="0.2">
      <c r="A69" s="1">
        <v>2015</v>
      </c>
      <c r="B69" s="1">
        <v>7</v>
      </c>
      <c r="C69" s="2" t="s">
        <v>143</v>
      </c>
      <c r="D69" s="2" t="s">
        <v>144</v>
      </c>
      <c r="E69" s="2" t="s">
        <v>145</v>
      </c>
      <c r="F69" s="5" t="s">
        <v>17</v>
      </c>
    </row>
    <row r="70" spans="1:6" x14ac:dyDescent="0.2">
      <c r="A70" s="1">
        <v>2016</v>
      </c>
      <c r="B70" s="1">
        <v>7</v>
      </c>
      <c r="C70" s="2" t="s">
        <v>143</v>
      </c>
      <c r="D70" s="2" t="s">
        <v>146</v>
      </c>
      <c r="E70" s="2" t="s">
        <v>9</v>
      </c>
      <c r="F70" s="4" t="s">
        <v>14</v>
      </c>
    </row>
    <row r="71" spans="1:6" x14ac:dyDescent="0.2">
      <c r="A71" s="1">
        <v>2017</v>
      </c>
      <c r="B71" s="1">
        <v>7</v>
      </c>
      <c r="C71" s="2" t="s">
        <v>7</v>
      </c>
      <c r="D71" s="2" t="s">
        <v>147</v>
      </c>
      <c r="E71" s="2" t="s">
        <v>20</v>
      </c>
      <c r="F71" s="4" t="s">
        <v>14</v>
      </c>
    </row>
    <row r="72" spans="1:6" x14ac:dyDescent="0.2">
      <c r="A72" s="1">
        <v>2018</v>
      </c>
      <c r="B72" s="1">
        <v>7</v>
      </c>
      <c r="C72" s="2" t="s">
        <v>99</v>
      </c>
      <c r="D72" s="2" t="s">
        <v>148</v>
      </c>
      <c r="E72" s="2" t="s">
        <v>24</v>
      </c>
      <c r="F72" s="7" t="s">
        <v>21</v>
      </c>
    </row>
    <row r="73" spans="1:6" x14ac:dyDescent="0.2">
      <c r="A73" s="1">
        <v>2019</v>
      </c>
      <c r="B73" s="1">
        <v>7</v>
      </c>
      <c r="C73" s="2" t="s">
        <v>99</v>
      </c>
      <c r="D73" s="2" t="s">
        <v>149</v>
      </c>
      <c r="E73" s="2" t="s">
        <v>150</v>
      </c>
      <c r="F73" s="7" t="s">
        <v>21</v>
      </c>
    </row>
    <row r="74" spans="1:6" x14ac:dyDescent="0.2">
      <c r="A74" s="1">
        <v>2020</v>
      </c>
      <c r="B74" s="1">
        <v>7</v>
      </c>
      <c r="C74" s="2" t="s">
        <v>27</v>
      </c>
      <c r="D74" s="2" t="s">
        <v>151</v>
      </c>
      <c r="E74" s="2" t="s">
        <v>34</v>
      </c>
      <c r="F74" s="5" t="s">
        <v>17</v>
      </c>
    </row>
    <row r="75" spans="1:6" x14ac:dyDescent="0.2">
      <c r="A75" s="1">
        <v>2021</v>
      </c>
      <c r="B75" s="1">
        <v>7</v>
      </c>
      <c r="C75" s="2" t="s">
        <v>51</v>
      </c>
      <c r="D75" s="2" t="s">
        <v>152</v>
      </c>
      <c r="E75" s="2" t="s">
        <v>56</v>
      </c>
      <c r="F75" s="6" t="s">
        <v>63</v>
      </c>
    </row>
    <row r="76" spans="1:6" x14ac:dyDescent="0.2">
      <c r="A76" s="1">
        <v>2022</v>
      </c>
      <c r="B76" s="1">
        <v>7</v>
      </c>
      <c r="C76" s="2" t="s">
        <v>84</v>
      </c>
      <c r="D76" s="2" t="s">
        <v>153</v>
      </c>
      <c r="E76" s="2" t="s">
        <v>9</v>
      </c>
      <c r="F76" s="6" t="s">
        <v>63</v>
      </c>
    </row>
    <row r="77" spans="1:6" x14ac:dyDescent="0.2">
      <c r="A77" s="1">
        <v>2023</v>
      </c>
      <c r="B77" s="1">
        <v>7</v>
      </c>
      <c r="C77" s="2" t="s">
        <v>137</v>
      </c>
      <c r="D77" s="2" t="s">
        <v>154</v>
      </c>
      <c r="E77" s="2" t="s">
        <v>34</v>
      </c>
      <c r="F77" s="6" t="s">
        <v>63</v>
      </c>
    </row>
    <row r="78" spans="1:6" x14ac:dyDescent="0.2">
      <c r="A78" s="1">
        <v>2024</v>
      </c>
      <c r="B78" s="1">
        <v>7</v>
      </c>
      <c r="C78" s="2" t="s">
        <v>84</v>
      </c>
      <c r="D78" s="2" t="s">
        <v>155</v>
      </c>
      <c r="E78" s="2" t="s">
        <v>109</v>
      </c>
      <c r="F78" s="8" t="s">
        <v>37</v>
      </c>
    </row>
    <row r="79" spans="1:6" x14ac:dyDescent="0.2">
      <c r="A79" s="1">
        <v>2025</v>
      </c>
      <c r="B79" s="1">
        <v>7</v>
      </c>
      <c r="C79" s="2" t="s">
        <v>22</v>
      </c>
      <c r="D79" s="2" t="s">
        <v>156</v>
      </c>
      <c r="E79" s="2" t="s">
        <v>116</v>
      </c>
      <c r="F79" s="8" t="s">
        <v>37</v>
      </c>
    </row>
    <row r="80" spans="1:6" x14ac:dyDescent="0.2">
      <c r="A80" s="1">
        <v>2015</v>
      </c>
      <c r="B80" s="1">
        <v>8</v>
      </c>
      <c r="C80" s="2" t="s">
        <v>27</v>
      </c>
      <c r="D80" s="2" t="s">
        <v>157</v>
      </c>
      <c r="E80" s="2" t="s">
        <v>20</v>
      </c>
      <c r="F80" s="5" t="s">
        <v>17</v>
      </c>
    </row>
    <row r="81" spans="1:6" x14ac:dyDescent="0.2">
      <c r="A81" s="1">
        <v>2016</v>
      </c>
      <c r="B81" s="1">
        <v>8</v>
      </c>
      <c r="C81" s="2" t="s">
        <v>46</v>
      </c>
      <c r="D81" s="2" t="s">
        <v>158</v>
      </c>
      <c r="E81" s="2" t="s">
        <v>16</v>
      </c>
      <c r="F81" s="5" t="s">
        <v>17</v>
      </c>
    </row>
    <row r="82" spans="1:6" x14ac:dyDescent="0.2">
      <c r="A82" s="1">
        <v>2017</v>
      </c>
      <c r="B82" s="1">
        <v>8</v>
      </c>
      <c r="C82" s="2" t="s">
        <v>75</v>
      </c>
      <c r="D82" s="2" t="s">
        <v>159</v>
      </c>
      <c r="E82" s="2" t="s">
        <v>34</v>
      </c>
      <c r="F82" s="5" t="s">
        <v>17</v>
      </c>
    </row>
    <row r="83" spans="1:6" x14ac:dyDescent="0.2">
      <c r="A83" s="1">
        <v>2018</v>
      </c>
      <c r="B83" s="1">
        <v>8</v>
      </c>
      <c r="C83" s="2" t="s">
        <v>79</v>
      </c>
      <c r="D83" s="2" t="s">
        <v>160</v>
      </c>
      <c r="E83" s="2" t="s">
        <v>62</v>
      </c>
      <c r="F83" s="7" t="s">
        <v>21</v>
      </c>
    </row>
    <row r="84" spans="1:6" x14ac:dyDescent="0.2">
      <c r="A84" s="1">
        <v>2019</v>
      </c>
      <c r="B84" s="1">
        <v>8</v>
      </c>
      <c r="C84" s="2" t="s">
        <v>35</v>
      </c>
      <c r="D84" s="2" t="s">
        <v>161</v>
      </c>
      <c r="E84" s="2" t="s">
        <v>131</v>
      </c>
      <c r="F84" s="6" t="s">
        <v>63</v>
      </c>
    </row>
    <row r="85" spans="1:6" x14ac:dyDescent="0.2">
      <c r="A85" s="1">
        <v>2020</v>
      </c>
      <c r="B85" s="1">
        <v>8</v>
      </c>
      <c r="C85" s="2" t="s">
        <v>75</v>
      </c>
      <c r="D85" s="2" t="s">
        <v>162</v>
      </c>
      <c r="E85" s="2" t="s">
        <v>163</v>
      </c>
      <c r="F85" s="6" t="s">
        <v>63</v>
      </c>
    </row>
    <row r="86" spans="1:6" x14ac:dyDescent="0.2">
      <c r="A86" s="1">
        <v>2021</v>
      </c>
      <c r="B86" s="1">
        <v>8</v>
      </c>
      <c r="C86" s="2" t="s">
        <v>30</v>
      </c>
      <c r="D86" s="2" t="s">
        <v>164</v>
      </c>
      <c r="E86" s="2" t="s">
        <v>165</v>
      </c>
      <c r="F86" s="4" t="s">
        <v>14</v>
      </c>
    </row>
    <row r="87" spans="1:6" x14ac:dyDescent="0.2">
      <c r="A87" s="1">
        <v>2022</v>
      </c>
      <c r="B87" s="1">
        <v>8</v>
      </c>
      <c r="C87" s="2" t="s">
        <v>22</v>
      </c>
      <c r="D87" s="2" t="s">
        <v>166</v>
      </c>
      <c r="E87" s="2" t="s">
        <v>136</v>
      </c>
      <c r="F87" s="7" t="s">
        <v>21</v>
      </c>
    </row>
    <row r="88" spans="1:6" x14ac:dyDescent="0.2">
      <c r="A88" s="1">
        <v>2023</v>
      </c>
      <c r="B88" s="1">
        <v>8</v>
      </c>
      <c r="C88" s="2" t="s">
        <v>64</v>
      </c>
      <c r="D88" s="2" t="s">
        <v>167</v>
      </c>
      <c r="E88" s="2" t="s">
        <v>168</v>
      </c>
      <c r="F88" s="6" t="s">
        <v>63</v>
      </c>
    </row>
    <row r="89" spans="1:6" x14ac:dyDescent="0.2">
      <c r="A89" s="1">
        <v>2024</v>
      </c>
      <c r="B89" s="1">
        <v>8</v>
      </c>
      <c r="C89" s="2" t="s">
        <v>32</v>
      </c>
      <c r="D89" s="2" t="s">
        <v>169</v>
      </c>
      <c r="E89" s="2" t="s">
        <v>9</v>
      </c>
      <c r="F89" s="8" t="s">
        <v>37</v>
      </c>
    </row>
    <row r="90" spans="1:6" x14ac:dyDescent="0.2">
      <c r="A90" s="1">
        <v>2025</v>
      </c>
      <c r="B90" s="1">
        <v>8</v>
      </c>
      <c r="C90" s="2" t="s">
        <v>170</v>
      </c>
      <c r="D90" s="2" t="s">
        <v>171</v>
      </c>
      <c r="E90" s="2" t="s">
        <v>172</v>
      </c>
      <c r="F90" s="8" t="s">
        <v>37</v>
      </c>
    </row>
    <row r="91" spans="1:6" x14ac:dyDescent="0.2">
      <c r="A91" s="1">
        <v>2015</v>
      </c>
      <c r="B91" s="1">
        <v>9</v>
      </c>
      <c r="C91" s="2" t="s">
        <v>60</v>
      </c>
      <c r="D91" s="2" t="s">
        <v>173</v>
      </c>
      <c r="E91" s="2" t="s">
        <v>174</v>
      </c>
      <c r="F91" s="6" t="s">
        <v>63</v>
      </c>
    </row>
    <row r="92" spans="1:6" x14ac:dyDescent="0.2">
      <c r="A92" s="1">
        <v>2016</v>
      </c>
      <c r="B92" s="1">
        <v>9</v>
      </c>
      <c r="C92" s="2" t="s">
        <v>102</v>
      </c>
      <c r="D92" s="2" t="s">
        <v>175</v>
      </c>
      <c r="E92" s="2" t="s">
        <v>176</v>
      </c>
      <c r="F92" s="7" t="s">
        <v>21</v>
      </c>
    </row>
    <row r="93" spans="1:6" x14ac:dyDescent="0.2">
      <c r="A93" s="1">
        <v>2017</v>
      </c>
      <c r="B93" s="1">
        <v>9</v>
      </c>
      <c r="C93" s="2" t="s">
        <v>38</v>
      </c>
      <c r="D93" s="2" t="s">
        <v>177</v>
      </c>
      <c r="E93" s="2" t="s">
        <v>178</v>
      </c>
      <c r="F93" s="5" t="s">
        <v>17</v>
      </c>
    </row>
    <row r="94" spans="1:6" x14ac:dyDescent="0.2">
      <c r="A94" s="1">
        <v>2018</v>
      </c>
      <c r="B94" s="1">
        <v>9</v>
      </c>
      <c r="C94" s="2" t="s">
        <v>75</v>
      </c>
      <c r="D94" s="2" t="s">
        <v>179</v>
      </c>
      <c r="E94" s="2" t="s">
        <v>9</v>
      </c>
      <c r="F94" s="5" t="s">
        <v>17</v>
      </c>
    </row>
    <row r="95" spans="1:6" x14ac:dyDescent="0.2">
      <c r="A95" s="1">
        <v>2019</v>
      </c>
      <c r="B95" s="1">
        <v>9</v>
      </c>
      <c r="C95" s="2" t="s">
        <v>64</v>
      </c>
      <c r="D95" s="2" t="s">
        <v>180</v>
      </c>
      <c r="E95" s="2" t="s">
        <v>59</v>
      </c>
      <c r="F95" s="6" t="s">
        <v>63</v>
      </c>
    </row>
    <row r="96" spans="1:6" x14ac:dyDescent="0.2">
      <c r="A96" s="1">
        <v>2020</v>
      </c>
      <c r="B96" s="1">
        <v>9</v>
      </c>
      <c r="C96" s="2" t="s">
        <v>64</v>
      </c>
      <c r="D96" s="2" t="s">
        <v>181</v>
      </c>
      <c r="E96" s="2" t="s">
        <v>182</v>
      </c>
      <c r="F96" s="4" t="s">
        <v>14</v>
      </c>
    </row>
    <row r="97" spans="1:6" x14ac:dyDescent="0.2">
      <c r="A97" s="1">
        <v>2021</v>
      </c>
      <c r="B97" s="1">
        <v>9</v>
      </c>
      <c r="C97" s="2" t="s">
        <v>46</v>
      </c>
      <c r="D97" s="2" t="s">
        <v>183</v>
      </c>
      <c r="E97" s="2" t="s">
        <v>88</v>
      </c>
      <c r="F97" s="6" t="s">
        <v>63</v>
      </c>
    </row>
    <row r="98" spans="1:6" x14ac:dyDescent="0.2">
      <c r="A98" s="1">
        <v>2022</v>
      </c>
      <c r="B98" s="1">
        <v>9</v>
      </c>
      <c r="C98" s="2" t="s">
        <v>32</v>
      </c>
      <c r="D98" s="2" t="s">
        <v>184</v>
      </c>
      <c r="E98" s="2" t="s">
        <v>88</v>
      </c>
      <c r="F98" s="6" t="s">
        <v>63</v>
      </c>
    </row>
    <row r="99" spans="1:6" x14ac:dyDescent="0.2">
      <c r="A99" s="1">
        <v>2023</v>
      </c>
      <c r="B99" s="1">
        <v>9</v>
      </c>
      <c r="C99" s="2" t="s">
        <v>125</v>
      </c>
      <c r="D99" s="2" t="s">
        <v>185</v>
      </c>
      <c r="E99" s="2" t="s">
        <v>186</v>
      </c>
      <c r="F99" s="6" t="s">
        <v>63</v>
      </c>
    </row>
    <row r="100" spans="1:6" x14ac:dyDescent="0.2">
      <c r="A100" s="1">
        <v>2024</v>
      </c>
      <c r="B100" s="1">
        <v>9</v>
      </c>
      <c r="C100" s="2" t="s">
        <v>48</v>
      </c>
      <c r="D100" s="2" t="s">
        <v>187</v>
      </c>
      <c r="E100" s="2" t="s">
        <v>122</v>
      </c>
      <c r="F100" s="8" t="s">
        <v>37</v>
      </c>
    </row>
    <row r="101" spans="1:6" x14ac:dyDescent="0.2">
      <c r="A101" s="1">
        <v>2025</v>
      </c>
      <c r="B101" s="1">
        <v>9</v>
      </c>
      <c r="C101" s="2" t="s">
        <v>102</v>
      </c>
      <c r="D101" s="2" t="s">
        <v>188</v>
      </c>
      <c r="E101" s="2" t="s">
        <v>189</v>
      </c>
      <c r="F101" s="8" t="s">
        <v>37</v>
      </c>
    </row>
    <row r="102" spans="1:6" x14ac:dyDescent="0.2">
      <c r="A102" s="1">
        <v>2015</v>
      </c>
      <c r="B102" s="1">
        <v>10</v>
      </c>
      <c r="C102" s="2" t="s">
        <v>190</v>
      </c>
      <c r="D102" s="2" t="s">
        <v>191</v>
      </c>
      <c r="E102" s="2" t="s">
        <v>24</v>
      </c>
      <c r="F102" s="5" t="s">
        <v>17</v>
      </c>
    </row>
    <row r="103" spans="1:6" x14ac:dyDescent="0.2">
      <c r="A103" s="1">
        <v>2016</v>
      </c>
      <c r="B103" s="1">
        <v>10</v>
      </c>
      <c r="C103" s="2" t="s">
        <v>192</v>
      </c>
      <c r="D103" s="2" t="s">
        <v>193</v>
      </c>
      <c r="E103" s="2" t="s">
        <v>194</v>
      </c>
      <c r="F103" s="5" t="s">
        <v>17</v>
      </c>
    </row>
    <row r="104" spans="1:6" x14ac:dyDescent="0.2">
      <c r="A104" s="1">
        <v>2017</v>
      </c>
      <c r="B104" s="1">
        <v>10</v>
      </c>
      <c r="C104" s="2" t="s">
        <v>46</v>
      </c>
      <c r="D104" s="2" t="s">
        <v>195</v>
      </c>
      <c r="E104" s="2" t="s">
        <v>59</v>
      </c>
      <c r="F104" s="6" t="s">
        <v>63</v>
      </c>
    </row>
    <row r="105" spans="1:6" x14ac:dyDescent="0.2">
      <c r="A105" s="1">
        <v>2018</v>
      </c>
      <c r="B105" s="1">
        <v>10</v>
      </c>
      <c r="C105" s="2" t="s">
        <v>11</v>
      </c>
      <c r="D105" s="2" t="s">
        <v>196</v>
      </c>
      <c r="E105" s="2" t="s">
        <v>197</v>
      </c>
      <c r="F105" s="4" t="s">
        <v>14</v>
      </c>
    </row>
    <row r="106" spans="1:6" x14ac:dyDescent="0.2">
      <c r="A106" s="1">
        <v>2019</v>
      </c>
      <c r="B106" s="1">
        <v>10</v>
      </c>
      <c r="C106" s="2" t="s">
        <v>35</v>
      </c>
      <c r="D106" s="2" t="s">
        <v>198</v>
      </c>
      <c r="E106" s="2" t="s">
        <v>24</v>
      </c>
      <c r="F106" s="5" t="s">
        <v>17</v>
      </c>
    </row>
    <row r="107" spans="1:6" x14ac:dyDescent="0.2">
      <c r="A107" s="1">
        <v>2020</v>
      </c>
      <c r="B107" s="1">
        <v>10</v>
      </c>
      <c r="C107" s="2" t="s">
        <v>18</v>
      </c>
      <c r="D107" s="2" t="s">
        <v>199</v>
      </c>
      <c r="E107" s="2" t="s">
        <v>200</v>
      </c>
      <c r="F107" s="6" t="s">
        <v>63</v>
      </c>
    </row>
    <row r="108" spans="1:6" x14ac:dyDescent="0.2">
      <c r="A108" s="1">
        <v>2021</v>
      </c>
      <c r="B108" s="1">
        <v>10</v>
      </c>
      <c r="C108" s="2" t="s">
        <v>22</v>
      </c>
      <c r="D108" s="2" t="s">
        <v>201</v>
      </c>
      <c r="E108" s="2" t="s">
        <v>202</v>
      </c>
      <c r="F108" s="6" t="s">
        <v>63</v>
      </c>
    </row>
    <row r="109" spans="1:6" x14ac:dyDescent="0.2">
      <c r="A109" s="1">
        <v>2022</v>
      </c>
      <c r="B109" s="1">
        <v>10</v>
      </c>
      <c r="C109" s="2" t="s">
        <v>64</v>
      </c>
      <c r="D109" s="2" t="s">
        <v>203</v>
      </c>
      <c r="E109" s="2" t="s">
        <v>174</v>
      </c>
      <c r="F109" s="5" t="s">
        <v>17</v>
      </c>
    </row>
    <row r="110" spans="1:6" x14ac:dyDescent="0.2">
      <c r="A110" s="1">
        <v>2023</v>
      </c>
      <c r="B110" s="1">
        <v>10</v>
      </c>
      <c r="C110" s="2" t="s">
        <v>38</v>
      </c>
      <c r="D110" s="2" t="s">
        <v>204</v>
      </c>
      <c r="E110" s="2" t="s">
        <v>9</v>
      </c>
      <c r="F110" s="7" t="s">
        <v>21</v>
      </c>
    </row>
    <row r="111" spans="1:6" x14ac:dyDescent="0.2">
      <c r="A111" s="1">
        <v>2024</v>
      </c>
      <c r="B111" s="1">
        <v>10</v>
      </c>
      <c r="C111" s="2" t="s">
        <v>125</v>
      </c>
      <c r="D111" s="2" t="s">
        <v>205</v>
      </c>
      <c r="E111" s="2" t="s">
        <v>206</v>
      </c>
      <c r="F111" s="8" t="s">
        <v>37</v>
      </c>
    </row>
    <row r="112" spans="1:6" x14ac:dyDescent="0.2">
      <c r="A112" s="1">
        <v>2025</v>
      </c>
      <c r="B112" s="1">
        <v>10</v>
      </c>
      <c r="C112" s="2" t="s">
        <v>54</v>
      </c>
      <c r="D112" s="2" t="s">
        <v>207</v>
      </c>
      <c r="E112" s="2" t="s">
        <v>24</v>
      </c>
      <c r="F112" s="8" t="s">
        <v>37</v>
      </c>
    </row>
    <row r="113" spans="1:6" x14ac:dyDescent="0.2">
      <c r="A113" s="1">
        <v>2015</v>
      </c>
      <c r="B113" s="1">
        <v>11</v>
      </c>
      <c r="C113" s="2" t="s">
        <v>137</v>
      </c>
      <c r="D113" s="2" t="s">
        <v>208</v>
      </c>
      <c r="E113" s="2" t="s">
        <v>131</v>
      </c>
      <c r="F113" s="7" t="s">
        <v>21</v>
      </c>
    </row>
    <row r="114" spans="1:6" x14ac:dyDescent="0.2">
      <c r="A114" s="1">
        <v>2016</v>
      </c>
      <c r="B114" s="1">
        <v>11</v>
      </c>
      <c r="C114" s="2" t="s">
        <v>30</v>
      </c>
      <c r="D114" s="2" t="s">
        <v>209</v>
      </c>
      <c r="E114" s="2" t="s">
        <v>59</v>
      </c>
      <c r="F114" s="4" t="s">
        <v>14</v>
      </c>
    </row>
    <row r="115" spans="1:6" x14ac:dyDescent="0.2">
      <c r="A115" s="1">
        <v>2017</v>
      </c>
      <c r="B115" s="1">
        <v>11</v>
      </c>
      <c r="C115" s="2" t="s">
        <v>60</v>
      </c>
      <c r="D115" s="2" t="s">
        <v>210</v>
      </c>
      <c r="E115" s="2" t="s">
        <v>9</v>
      </c>
      <c r="F115" s="6" t="s">
        <v>63</v>
      </c>
    </row>
    <row r="116" spans="1:6" x14ac:dyDescent="0.2">
      <c r="A116" s="1">
        <v>2018</v>
      </c>
      <c r="B116" s="1">
        <v>11</v>
      </c>
      <c r="C116" s="2" t="s">
        <v>60</v>
      </c>
      <c r="D116" s="2" t="s">
        <v>211</v>
      </c>
      <c r="E116" s="2" t="s">
        <v>9</v>
      </c>
      <c r="F116" s="3" t="s">
        <v>10</v>
      </c>
    </row>
    <row r="117" spans="1:6" x14ac:dyDescent="0.2">
      <c r="A117" s="1">
        <v>2019</v>
      </c>
      <c r="B117" s="1">
        <v>11</v>
      </c>
      <c r="C117" s="2" t="s">
        <v>7</v>
      </c>
      <c r="D117" s="2" t="s">
        <v>212</v>
      </c>
      <c r="E117" s="2" t="s">
        <v>150</v>
      </c>
      <c r="F117" s="7" t="s">
        <v>21</v>
      </c>
    </row>
    <row r="118" spans="1:6" x14ac:dyDescent="0.2">
      <c r="A118" s="1">
        <v>2020</v>
      </c>
      <c r="B118" s="1">
        <v>11</v>
      </c>
      <c r="C118" s="2" t="s">
        <v>32</v>
      </c>
      <c r="D118" s="2" t="s">
        <v>213</v>
      </c>
      <c r="E118" s="2" t="s">
        <v>101</v>
      </c>
      <c r="F118" s="7" t="s">
        <v>21</v>
      </c>
    </row>
    <row r="119" spans="1:6" x14ac:dyDescent="0.2">
      <c r="A119" s="1">
        <v>2021</v>
      </c>
      <c r="B119" s="1">
        <v>11</v>
      </c>
      <c r="C119" s="2" t="s">
        <v>60</v>
      </c>
      <c r="D119" s="2" t="s">
        <v>214</v>
      </c>
      <c r="E119" s="2" t="s">
        <v>109</v>
      </c>
      <c r="F119" s="5" t="s">
        <v>17</v>
      </c>
    </row>
    <row r="120" spans="1:6" x14ac:dyDescent="0.2">
      <c r="A120" s="1">
        <v>2022</v>
      </c>
      <c r="B120" s="1">
        <v>11</v>
      </c>
      <c r="C120" s="2" t="s">
        <v>75</v>
      </c>
      <c r="D120" s="2" t="s">
        <v>215</v>
      </c>
      <c r="E120" s="2" t="s">
        <v>216</v>
      </c>
      <c r="F120" s="6" t="s">
        <v>63</v>
      </c>
    </row>
    <row r="121" spans="1:6" x14ac:dyDescent="0.2">
      <c r="A121" s="1">
        <v>2023</v>
      </c>
      <c r="B121" s="1">
        <v>11</v>
      </c>
      <c r="C121" s="2" t="s">
        <v>30</v>
      </c>
      <c r="D121" s="2" t="s">
        <v>217</v>
      </c>
      <c r="E121" s="2" t="s">
        <v>165</v>
      </c>
      <c r="F121" s="5" t="s">
        <v>17</v>
      </c>
    </row>
    <row r="122" spans="1:6" x14ac:dyDescent="0.2">
      <c r="A122" s="1">
        <v>2024</v>
      </c>
      <c r="B122" s="1">
        <v>11</v>
      </c>
      <c r="C122" s="2" t="s">
        <v>99</v>
      </c>
      <c r="D122" s="2" t="s">
        <v>218</v>
      </c>
      <c r="E122" s="2" t="s">
        <v>56</v>
      </c>
      <c r="F122" s="8" t="s">
        <v>37</v>
      </c>
    </row>
    <row r="123" spans="1:6" x14ac:dyDescent="0.2">
      <c r="A123" s="1">
        <v>2025</v>
      </c>
      <c r="B123" s="1">
        <v>11</v>
      </c>
      <c r="C123" s="2" t="s">
        <v>84</v>
      </c>
      <c r="D123" s="2" t="s">
        <v>219</v>
      </c>
      <c r="E123" s="2" t="s">
        <v>220</v>
      </c>
      <c r="F123" s="8" t="s">
        <v>37</v>
      </c>
    </row>
    <row r="124" spans="1:6" x14ac:dyDescent="0.2">
      <c r="A124" s="1">
        <v>2015</v>
      </c>
      <c r="B124" s="1">
        <v>12</v>
      </c>
      <c r="C124" s="2" t="s">
        <v>125</v>
      </c>
      <c r="D124" s="2" t="s">
        <v>221</v>
      </c>
      <c r="E124" s="2" t="s">
        <v>9</v>
      </c>
      <c r="F124" s="6" t="s">
        <v>63</v>
      </c>
    </row>
    <row r="125" spans="1:6" x14ac:dyDescent="0.2">
      <c r="A125" s="1">
        <v>2016</v>
      </c>
      <c r="B125" s="1">
        <v>12</v>
      </c>
      <c r="C125" s="2" t="s">
        <v>125</v>
      </c>
      <c r="D125" s="2" t="s">
        <v>222</v>
      </c>
      <c r="E125" s="2" t="s">
        <v>88</v>
      </c>
      <c r="F125" s="6" t="s">
        <v>63</v>
      </c>
    </row>
    <row r="126" spans="1:6" x14ac:dyDescent="0.2">
      <c r="A126" s="1">
        <v>2017</v>
      </c>
      <c r="B126" s="1">
        <v>12</v>
      </c>
      <c r="C126" s="2" t="s">
        <v>27</v>
      </c>
      <c r="D126" s="2" t="s">
        <v>223</v>
      </c>
      <c r="E126" s="2" t="s">
        <v>24</v>
      </c>
      <c r="F126" s="7" t="s">
        <v>21</v>
      </c>
    </row>
    <row r="127" spans="1:6" x14ac:dyDescent="0.2">
      <c r="A127" s="1">
        <v>2018</v>
      </c>
      <c r="B127" s="1">
        <v>12</v>
      </c>
      <c r="C127" s="2" t="s">
        <v>224</v>
      </c>
      <c r="D127" s="2" t="s">
        <v>225</v>
      </c>
      <c r="E127" s="2" t="s">
        <v>96</v>
      </c>
      <c r="F127" s="7" t="s">
        <v>21</v>
      </c>
    </row>
    <row r="128" spans="1:6" x14ac:dyDescent="0.2">
      <c r="A128" s="1">
        <v>2019</v>
      </c>
      <c r="B128" s="1">
        <v>12</v>
      </c>
      <c r="C128" s="2" t="s">
        <v>60</v>
      </c>
      <c r="D128" s="2" t="s">
        <v>226</v>
      </c>
      <c r="E128" s="2" t="s">
        <v>9</v>
      </c>
      <c r="F128" s="7" t="s">
        <v>21</v>
      </c>
    </row>
    <row r="129" spans="1:6" x14ac:dyDescent="0.2">
      <c r="A129" s="1">
        <v>2020</v>
      </c>
      <c r="B129" s="1">
        <v>12</v>
      </c>
      <c r="C129" s="2" t="s">
        <v>46</v>
      </c>
      <c r="D129" s="2" t="s">
        <v>227</v>
      </c>
      <c r="E129" s="2" t="s">
        <v>228</v>
      </c>
      <c r="F129" s="3" t="s">
        <v>10</v>
      </c>
    </row>
    <row r="130" spans="1:6" x14ac:dyDescent="0.2">
      <c r="A130" s="1">
        <v>2021</v>
      </c>
      <c r="B130" s="1">
        <v>12</v>
      </c>
      <c r="C130" s="2" t="s">
        <v>32</v>
      </c>
      <c r="D130" s="2" t="s">
        <v>229</v>
      </c>
      <c r="E130" s="2" t="s">
        <v>62</v>
      </c>
      <c r="F130" s="5" t="s">
        <v>17</v>
      </c>
    </row>
    <row r="131" spans="1:6" x14ac:dyDescent="0.2">
      <c r="A131" s="1">
        <v>2022</v>
      </c>
      <c r="B131" s="1">
        <v>12</v>
      </c>
      <c r="C131" s="2" t="s">
        <v>57</v>
      </c>
      <c r="D131" s="2" t="s">
        <v>230</v>
      </c>
      <c r="E131" s="2" t="s">
        <v>231</v>
      </c>
      <c r="F131" s="4" t="s">
        <v>14</v>
      </c>
    </row>
    <row r="132" spans="1:6" x14ac:dyDescent="0.2">
      <c r="A132" s="1">
        <v>2023</v>
      </c>
      <c r="B132" s="1">
        <v>12</v>
      </c>
      <c r="C132" s="2" t="s">
        <v>57</v>
      </c>
      <c r="D132" s="2" t="s">
        <v>232</v>
      </c>
      <c r="E132" s="2" t="s">
        <v>24</v>
      </c>
      <c r="F132" s="6" t="s">
        <v>63</v>
      </c>
    </row>
    <row r="133" spans="1:6" x14ac:dyDescent="0.2">
      <c r="A133" s="1">
        <v>2024</v>
      </c>
      <c r="B133" s="1">
        <v>12</v>
      </c>
      <c r="C133" s="2" t="s">
        <v>57</v>
      </c>
      <c r="D133" s="2" t="s">
        <v>233</v>
      </c>
      <c r="E133" s="2" t="s">
        <v>234</v>
      </c>
      <c r="F133" s="8" t="s">
        <v>37</v>
      </c>
    </row>
    <row r="134" spans="1:6" x14ac:dyDescent="0.2">
      <c r="A134" s="1">
        <v>2025</v>
      </c>
      <c r="B134" s="1">
        <v>12</v>
      </c>
      <c r="C134" s="2" t="s">
        <v>99</v>
      </c>
      <c r="D134" s="2" t="s">
        <v>235</v>
      </c>
      <c r="E134" s="2" t="s">
        <v>34</v>
      </c>
      <c r="F134" s="8" t="s">
        <v>37</v>
      </c>
    </row>
    <row r="135" spans="1:6" x14ac:dyDescent="0.2">
      <c r="A135" s="1">
        <v>2015</v>
      </c>
      <c r="B135" s="1">
        <v>13</v>
      </c>
      <c r="C135" s="2" t="s">
        <v>18</v>
      </c>
      <c r="D135" s="2" t="s">
        <v>236</v>
      </c>
      <c r="E135" s="2" t="s">
        <v>9</v>
      </c>
      <c r="F135" s="3" t="s">
        <v>10</v>
      </c>
    </row>
    <row r="136" spans="1:6" x14ac:dyDescent="0.2">
      <c r="A136" s="1">
        <v>2016</v>
      </c>
      <c r="B136" s="1">
        <v>13</v>
      </c>
      <c r="C136" s="2" t="s">
        <v>18</v>
      </c>
      <c r="D136" s="2" t="s">
        <v>237</v>
      </c>
      <c r="E136" s="2" t="s">
        <v>238</v>
      </c>
      <c r="F136" s="5" t="s">
        <v>17</v>
      </c>
    </row>
    <row r="137" spans="1:6" x14ac:dyDescent="0.2">
      <c r="A137" s="1">
        <v>2017</v>
      </c>
      <c r="B137" s="1">
        <v>13</v>
      </c>
      <c r="C137" s="2" t="s">
        <v>143</v>
      </c>
      <c r="D137" s="2" t="s">
        <v>239</v>
      </c>
      <c r="E137" s="2" t="s">
        <v>240</v>
      </c>
      <c r="F137" s="3" t="s">
        <v>10</v>
      </c>
    </row>
    <row r="138" spans="1:6" x14ac:dyDescent="0.2">
      <c r="A138" s="1">
        <v>2018</v>
      </c>
      <c r="B138" s="1">
        <v>13</v>
      </c>
      <c r="C138" s="2" t="s">
        <v>224</v>
      </c>
      <c r="D138" s="2" t="s">
        <v>241</v>
      </c>
      <c r="E138" s="2" t="s">
        <v>242</v>
      </c>
      <c r="F138" s="5" t="s">
        <v>17</v>
      </c>
    </row>
    <row r="139" spans="1:6" x14ac:dyDescent="0.2">
      <c r="A139" s="1">
        <v>2019</v>
      </c>
      <c r="B139" s="1">
        <v>13</v>
      </c>
      <c r="C139" s="2" t="s">
        <v>190</v>
      </c>
      <c r="D139" s="2" t="s">
        <v>243</v>
      </c>
      <c r="E139" s="2" t="s">
        <v>9</v>
      </c>
      <c r="F139" s="4" t="s">
        <v>14</v>
      </c>
    </row>
    <row r="140" spans="1:6" x14ac:dyDescent="0.2">
      <c r="A140" s="1">
        <v>2020</v>
      </c>
      <c r="B140" s="1">
        <v>13</v>
      </c>
      <c r="C140" s="2" t="s">
        <v>22</v>
      </c>
      <c r="D140" s="2" t="s">
        <v>244</v>
      </c>
      <c r="E140" s="2" t="s">
        <v>62</v>
      </c>
      <c r="F140" s="5" t="s">
        <v>17</v>
      </c>
    </row>
    <row r="141" spans="1:6" x14ac:dyDescent="0.2">
      <c r="A141" s="1">
        <v>2021</v>
      </c>
      <c r="B141" s="1">
        <v>13</v>
      </c>
      <c r="C141" s="2" t="s">
        <v>137</v>
      </c>
      <c r="D141" s="2" t="s">
        <v>245</v>
      </c>
      <c r="E141" s="2" t="s">
        <v>246</v>
      </c>
      <c r="F141" s="5" t="s">
        <v>17</v>
      </c>
    </row>
    <row r="142" spans="1:6" x14ac:dyDescent="0.2">
      <c r="A142" s="1">
        <v>2022</v>
      </c>
      <c r="B142" s="1">
        <v>13</v>
      </c>
      <c r="C142" s="2" t="s">
        <v>60</v>
      </c>
      <c r="D142" s="2" t="s">
        <v>247</v>
      </c>
      <c r="E142" s="2" t="s">
        <v>53</v>
      </c>
      <c r="F142" s="4" t="s">
        <v>14</v>
      </c>
    </row>
    <row r="143" spans="1:6" x14ac:dyDescent="0.2">
      <c r="A143" s="1">
        <v>2023</v>
      </c>
      <c r="B143" s="1">
        <v>13</v>
      </c>
      <c r="C143" s="2" t="s">
        <v>102</v>
      </c>
      <c r="D143" s="2" t="s">
        <v>248</v>
      </c>
      <c r="E143" s="2" t="s">
        <v>94</v>
      </c>
      <c r="F143" s="6" t="s">
        <v>63</v>
      </c>
    </row>
    <row r="144" spans="1:6" x14ac:dyDescent="0.2">
      <c r="A144" s="1">
        <v>2024</v>
      </c>
      <c r="B144" s="1">
        <v>13</v>
      </c>
      <c r="C144" s="2" t="s">
        <v>46</v>
      </c>
      <c r="D144" s="2" t="s">
        <v>249</v>
      </c>
      <c r="E144" s="2" t="s">
        <v>113</v>
      </c>
      <c r="F144" s="8" t="s">
        <v>37</v>
      </c>
    </row>
    <row r="145" spans="1:6" x14ac:dyDescent="0.2">
      <c r="A145" s="1">
        <v>2025</v>
      </c>
      <c r="B145" s="1">
        <v>13</v>
      </c>
      <c r="C145" s="2" t="s">
        <v>35</v>
      </c>
      <c r="D145" s="2" t="s">
        <v>250</v>
      </c>
      <c r="E145" s="2" t="s">
        <v>200</v>
      </c>
      <c r="F145" s="8" t="s">
        <v>37</v>
      </c>
    </row>
    <row r="146" spans="1:6" x14ac:dyDescent="0.2">
      <c r="A146" s="1">
        <v>2015</v>
      </c>
      <c r="B146" s="1">
        <v>14</v>
      </c>
      <c r="C146" s="2" t="s">
        <v>57</v>
      </c>
      <c r="D146" s="2" t="s">
        <v>251</v>
      </c>
      <c r="E146" s="2" t="s">
        <v>50</v>
      </c>
      <c r="F146" s="6" t="s">
        <v>63</v>
      </c>
    </row>
    <row r="147" spans="1:6" x14ac:dyDescent="0.2">
      <c r="A147" s="1">
        <v>2016</v>
      </c>
      <c r="B147" s="1">
        <v>14</v>
      </c>
      <c r="C147" s="2" t="s">
        <v>99</v>
      </c>
      <c r="D147" s="2" t="s">
        <v>252</v>
      </c>
      <c r="E147" s="2" t="s">
        <v>96</v>
      </c>
      <c r="F147" s="5" t="s">
        <v>17</v>
      </c>
    </row>
    <row r="148" spans="1:6" x14ac:dyDescent="0.2">
      <c r="A148" s="1">
        <v>2017</v>
      </c>
      <c r="B148" s="1">
        <v>14</v>
      </c>
      <c r="C148" s="2" t="s">
        <v>190</v>
      </c>
      <c r="D148" s="2" t="s">
        <v>253</v>
      </c>
      <c r="E148" s="2" t="s">
        <v>9</v>
      </c>
      <c r="F148" s="4" t="s">
        <v>14</v>
      </c>
    </row>
    <row r="149" spans="1:6" x14ac:dyDescent="0.2">
      <c r="A149" s="1">
        <v>2018</v>
      </c>
      <c r="B149" s="1">
        <v>14</v>
      </c>
      <c r="C149" s="2" t="s">
        <v>143</v>
      </c>
      <c r="D149" s="2" t="s">
        <v>254</v>
      </c>
      <c r="E149" s="2" t="s">
        <v>255</v>
      </c>
      <c r="F149" s="7" t="s">
        <v>21</v>
      </c>
    </row>
    <row r="150" spans="1:6" x14ac:dyDescent="0.2">
      <c r="A150" s="1">
        <v>2019</v>
      </c>
      <c r="B150" s="1">
        <v>14</v>
      </c>
      <c r="C150" s="2" t="s">
        <v>69</v>
      </c>
      <c r="D150" s="2" t="s">
        <v>256</v>
      </c>
      <c r="E150" s="2" t="s">
        <v>257</v>
      </c>
      <c r="F150" s="5" t="s">
        <v>17</v>
      </c>
    </row>
    <row r="151" spans="1:6" x14ac:dyDescent="0.2">
      <c r="A151" s="1">
        <v>2020</v>
      </c>
      <c r="B151" s="1">
        <v>14</v>
      </c>
      <c r="C151" s="2" t="s">
        <v>69</v>
      </c>
      <c r="D151" s="2" t="s">
        <v>258</v>
      </c>
      <c r="E151" s="2" t="s">
        <v>118</v>
      </c>
      <c r="F151" s="6" t="s">
        <v>63</v>
      </c>
    </row>
    <row r="152" spans="1:6" x14ac:dyDescent="0.2">
      <c r="A152" s="1">
        <v>2021</v>
      </c>
      <c r="B152" s="1">
        <v>14</v>
      </c>
      <c r="C152" s="2" t="s">
        <v>51</v>
      </c>
      <c r="D152" s="2" t="s">
        <v>259</v>
      </c>
      <c r="E152" s="2" t="s">
        <v>140</v>
      </c>
      <c r="F152" s="6" t="s">
        <v>63</v>
      </c>
    </row>
    <row r="153" spans="1:6" x14ac:dyDescent="0.2">
      <c r="A153" s="1">
        <v>2022</v>
      </c>
      <c r="B153" s="1">
        <v>14</v>
      </c>
      <c r="C153" s="2" t="s">
        <v>79</v>
      </c>
      <c r="D153" s="2" t="s">
        <v>260</v>
      </c>
      <c r="E153" s="2" t="s">
        <v>94</v>
      </c>
      <c r="F153" s="6" t="s">
        <v>63</v>
      </c>
    </row>
    <row r="154" spans="1:6" x14ac:dyDescent="0.2">
      <c r="A154" s="1">
        <v>2023</v>
      </c>
      <c r="B154" s="1">
        <v>14</v>
      </c>
      <c r="C154" s="2" t="s">
        <v>22</v>
      </c>
      <c r="D154" s="2" t="s">
        <v>261</v>
      </c>
      <c r="E154" s="2" t="s">
        <v>109</v>
      </c>
      <c r="F154" s="5" t="s">
        <v>17</v>
      </c>
    </row>
    <row r="155" spans="1:6" x14ac:dyDescent="0.2">
      <c r="A155" s="1">
        <v>2024</v>
      </c>
      <c r="B155" s="1">
        <v>14</v>
      </c>
      <c r="C155" s="2" t="s">
        <v>84</v>
      </c>
      <c r="D155" s="2" t="s">
        <v>262</v>
      </c>
      <c r="E155" s="2" t="s">
        <v>263</v>
      </c>
      <c r="F155" s="8" t="s">
        <v>37</v>
      </c>
    </row>
    <row r="156" spans="1:6" x14ac:dyDescent="0.2">
      <c r="A156" s="1">
        <v>2025</v>
      </c>
      <c r="B156" s="1">
        <v>14</v>
      </c>
      <c r="C156" s="2" t="s">
        <v>32</v>
      </c>
      <c r="D156" s="2" t="s">
        <v>264</v>
      </c>
      <c r="E156" s="2" t="s">
        <v>20</v>
      </c>
      <c r="F156" s="8" t="s">
        <v>37</v>
      </c>
    </row>
    <row r="157" spans="1:6" x14ac:dyDescent="0.2">
      <c r="A157" s="1">
        <v>2015</v>
      </c>
      <c r="B157" s="1">
        <v>15</v>
      </c>
      <c r="C157" s="2" t="s">
        <v>35</v>
      </c>
      <c r="D157" s="2" t="s">
        <v>265</v>
      </c>
      <c r="E157" s="2" t="s">
        <v>94</v>
      </c>
      <c r="F157" s="7" t="s">
        <v>21</v>
      </c>
    </row>
    <row r="158" spans="1:6" x14ac:dyDescent="0.2">
      <c r="A158" s="1">
        <v>2016</v>
      </c>
      <c r="B158" s="1">
        <v>15</v>
      </c>
      <c r="C158" s="2" t="s">
        <v>143</v>
      </c>
      <c r="D158" s="2" t="s">
        <v>266</v>
      </c>
      <c r="E158" s="2" t="s">
        <v>267</v>
      </c>
      <c r="F158" s="6" t="s">
        <v>63</v>
      </c>
    </row>
    <row r="159" spans="1:6" x14ac:dyDescent="0.2">
      <c r="A159" s="1">
        <v>2017</v>
      </c>
      <c r="B159" s="1">
        <v>15</v>
      </c>
      <c r="C159" s="2" t="s">
        <v>84</v>
      </c>
      <c r="D159" s="2" t="s">
        <v>268</v>
      </c>
      <c r="E159" s="2" t="s">
        <v>150</v>
      </c>
      <c r="F159" s="5" t="s">
        <v>17</v>
      </c>
    </row>
    <row r="160" spans="1:6" x14ac:dyDescent="0.2">
      <c r="A160" s="1">
        <v>2018</v>
      </c>
      <c r="B160" s="1">
        <v>15</v>
      </c>
      <c r="C160" s="2" t="s">
        <v>64</v>
      </c>
      <c r="D160" s="2" t="s">
        <v>269</v>
      </c>
      <c r="E160" s="2" t="s">
        <v>246</v>
      </c>
      <c r="F160" s="6" t="s">
        <v>63</v>
      </c>
    </row>
    <row r="161" spans="1:6" x14ac:dyDescent="0.2">
      <c r="A161" s="1">
        <v>2019</v>
      </c>
      <c r="B161" s="1">
        <v>15</v>
      </c>
      <c r="C161" s="2" t="s">
        <v>27</v>
      </c>
      <c r="D161" s="2" t="s">
        <v>270</v>
      </c>
      <c r="E161" s="2" t="s">
        <v>34</v>
      </c>
      <c r="F161" s="5" t="s">
        <v>17</v>
      </c>
    </row>
    <row r="162" spans="1:6" x14ac:dyDescent="0.2">
      <c r="A162" s="1">
        <v>2020</v>
      </c>
      <c r="B162" s="1">
        <v>15</v>
      </c>
      <c r="C162" s="2" t="s">
        <v>30</v>
      </c>
      <c r="D162" s="2" t="s">
        <v>271</v>
      </c>
      <c r="E162" s="2" t="s">
        <v>150</v>
      </c>
      <c r="F162" s="6" t="s">
        <v>63</v>
      </c>
    </row>
    <row r="163" spans="1:6" x14ac:dyDescent="0.2">
      <c r="A163" s="1">
        <v>2021</v>
      </c>
      <c r="B163" s="1">
        <v>15</v>
      </c>
      <c r="C163" s="2" t="s">
        <v>64</v>
      </c>
      <c r="D163" s="2" t="s">
        <v>272</v>
      </c>
      <c r="E163" s="2" t="s">
        <v>59</v>
      </c>
      <c r="F163" s="6" t="s">
        <v>63</v>
      </c>
    </row>
    <row r="164" spans="1:6" x14ac:dyDescent="0.2">
      <c r="A164" s="1">
        <v>2022</v>
      </c>
      <c r="B164" s="1">
        <v>15</v>
      </c>
      <c r="C164" s="2" t="s">
        <v>60</v>
      </c>
      <c r="D164" s="2" t="s">
        <v>273</v>
      </c>
      <c r="E164" s="2" t="s">
        <v>24</v>
      </c>
      <c r="F164" s="7" t="s">
        <v>21</v>
      </c>
    </row>
    <row r="165" spans="1:6" x14ac:dyDescent="0.2">
      <c r="A165" s="1">
        <v>2023</v>
      </c>
      <c r="B165" s="1">
        <v>15</v>
      </c>
      <c r="C165" s="2" t="s">
        <v>35</v>
      </c>
      <c r="D165" s="2" t="s">
        <v>274</v>
      </c>
      <c r="E165" s="2" t="s">
        <v>165</v>
      </c>
      <c r="F165" s="5" t="s">
        <v>17</v>
      </c>
    </row>
    <row r="166" spans="1:6" x14ac:dyDescent="0.2">
      <c r="A166" s="1">
        <v>2024</v>
      </c>
      <c r="B166" s="1">
        <v>15</v>
      </c>
      <c r="C166" s="2" t="s">
        <v>190</v>
      </c>
      <c r="D166" s="2" t="s">
        <v>275</v>
      </c>
      <c r="E166" s="2" t="s">
        <v>257</v>
      </c>
      <c r="F166" s="8" t="s">
        <v>37</v>
      </c>
    </row>
    <row r="167" spans="1:6" x14ac:dyDescent="0.2">
      <c r="A167" s="1">
        <v>2025</v>
      </c>
      <c r="B167" s="1">
        <v>15</v>
      </c>
      <c r="C167" s="2" t="s">
        <v>57</v>
      </c>
      <c r="D167" s="2" t="s">
        <v>276</v>
      </c>
      <c r="E167" s="2" t="s">
        <v>277</v>
      </c>
      <c r="F167" s="8" t="s">
        <v>37</v>
      </c>
    </row>
    <row r="168" spans="1:6" x14ac:dyDescent="0.2">
      <c r="A168" s="1">
        <v>2015</v>
      </c>
      <c r="B168" s="1">
        <v>16</v>
      </c>
      <c r="C168" s="2" t="s">
        <v>69</v>
      </c>
      <c r="D168" s="2" t="s">
        <v>278</v>
      </c>
      <c r="E168" s="2" t="s">
        <v>240</v>
      </c>
      <c r="F168" s="7" t="s">
        <v>21</v>
      </c>
    </row>
    <row r="169" spans="1:6" x14ac:dyDescent="0.2">
      <c r="A169" s="1">
        <v>2016</v>
      </c>
      <c r="B169" s="1">
        <v>16</v>
      </c>
      <c r="C169" s="2" t="s">
        <v>69</v>
      </c>
      <c r="D169" s="2" t="s">
        <v>279</v>
      </c>
      <c r="E169" s="2" t="s">
        <v>34</v>
      </c>
      <c r="F169" s="6" t="s">
        <v>63</v>
      </c>
    </row>
    <row r="170" spans="1:6" x14ac:dyDescent="0.2">
      <c r="A170" s="1">
        <v>2017</v>
      </c>
      <c r="B170" s="1">
        <v>16</v>
      </c>
      <c r="C170" s="2" t="s">
        <v>99</v>
      </c>
      <c r="D170" s="2" t="s">
        <v>280</v>
      </c>
      <c r="E170" s="2" t="s">
        <v>281</v>
      </c>
      <c r="F170" s="5" t="s">
        <v>17</v>
      </c>
    </row>
    <row r="171" spans="1:6" x14ac:dyDescent="0.2">
      <c r="A171" s="1">
        <v>2018</v>
      </c>
      <c r="B171" s="1">
        <v>16</v>
      </c>
      <c r="C171" s="2" t="s">
        <v>18</v>
      </c>
      <c r="D171" s="2" t="s">
        <v>282</v>
      </c>
      <c r="E171" s="2" t="s">
        <v>133</v>
      </c>
      <c r="F171" s="5" t="s">
        <v>17</v>
      </c>
    </row>
    <row r="172" spans="1:6" x14ac:dyDescent="0.2">
      <c r="A172" s="1">
        <v>2019</v>
      </c>
      <c r="B172" s="1">
        <v>16</v>
      </c>
      <c r="C172" s="2" t="s">
        <v>30</v>
      </c>
      <c r="D172" s="2" t="s">
        <v>283</v>
      </c>
      <c r="E172" s="2" t="s">
        <v>83</v>
      </c>
      <c r="F172" s="6" t="s">
        <v>63</v>
      </c>
    </row>
    <row r="173" spans="1:6" x14ac:dyDescent="0.2">
      <c r="A173" s="1">
        <v>2020</v>
      </c>
      <c r="B173" s="1">
        <v>16</v>
      </c>
      <c r="C173" s="2" t="s">
        <v>84</v>
      </c>
      <c r="D173" s="2" t="s">
        <v>284</v>
      </c>
      <c r="E173" s="2" t="s">
        <v>16</v>
      </c>
      <c r="F173" s="6" t="s">
        <v>63</v>
      </c>
    </row>
    <row r="174" spans="1:6" x14ac:dyDescent="0.2">
      <c r="A174" s="1">
        <v>2021</v>
      </c>
      <c r="B174" s="1">
        <v>16</v>
      </c>
      <c r="C174" s="2" t="s">
        <v>57</v>
      </c>
      <c r="D174" s="2" t="s">
        <v>285</v>
      </c>
      <c r="E174" s="2" t="s">
        <v>286</v>
      </c>
      <c r="F174" s="4" t="s">
        <v>14</v>
      </c>
    </row>
    <row r="175" spans="1:6" x14ac:dyDescent="0.2">
      <c r="A175" s="1">
        <v>2022</v>
      </c>
      <c r="B175" s="1">
        <v>16</v>
      </c>
      <c r="C175" s="2" t="s">
        <v>35</v>
      </c>
      <c r="D175" s="2" t="s">
        <v>287</v>
      </c>
      <c r="E175" s="2" t="s">
        <v>24</v>
      </c>
      <c r="F175" s="5" t="s">
        <v>17</v>
      </c>
    </row>
    <row r="176" spans="1:6" x14ac:dyDescent="0.2">
      <c r="A176" s="1">
        <v>2023</v>
      </c>
      <c r="B176" s="1">
        <v>16</v>
      </c>
      <c r="C176" s="2" t="s">
        <v>125</v>
      </c>
      <c r="D176" s="2" t="s">
        <v>288</v>
      </c>
      <c r="E176" s="2" t="s">
        <v>88</v>
      </c>
      <c r="F176" s="7" t="s">
        <v>21</v>
      </c>
    </row>
    <row r="177" spans="1:6" x14ac:dyDescent="0.2">
      <c r="A177" s="1">
        <v>2024</v>
      </c>
      <c r="B177" s="1">
        <v>16</v>
      </c>
      <c r="C177" s="2" t="s">
        <v>11</v>
      </c>
      <c r="D177" s="2" t="s">
        <v>289</v>
      </c>
      <c r="E177" s="2" t="s">
        <v>24</v>
      </c>
      <c r="F177" s="8" t="s">
        <v>37</v>
      </c>
    </row>
    <row r="178" spans="1:6" x14ac:dyDescent="0.2">
      <c r="A178" s="1">
        <v>2025</v>
      </c>
      <c r="B178" s="1">
        <v>16</v>
      </c>
      <c r="C178" s="2" t="s">
        <v>48</v>
      </c>
      <c r="D178" s="2" t="s">
        <v>290</v>
      </c>
      <c r="E178" s="2" t="s">
        <v>291</v>
      </c>
      <c r="F178" s="8" t="s">
        <v>37</v>
      </c>
    </row>
    <row r="179" spans="1:6" x14ac:dyDescent="0.2">
      <c r="A179" s="1">
        <v>2015</v>
      </c>
      <c r="B179" s="1">
        <v>17</v>
      </c>
      <c r="C179" s="2" t="s">
        <v>192</v>
      </c>
      <c r="D179" s="2" t="s">
        <v>292</v>
      </c>
      <c r="E179" s="2" t="s">
        <v>293</v>
      </c>
      <c r="F179" s="5" t="s">
        <v>17</v>
      </c>
    </row>
    <row r="180" spans="1:6" x14ac:dyDescent="0.2">
      <c r="A180" s="1">
        <v>2016</v>
      </c>
      <c r="B180" s="1">
        <v>17</v>
      </c>
      <c r="C180" s="2" t="s">
        <v>48</v>
      </c>
      <c r="D180" s="2" t="s">
        <v>294</v>
      </c>
      <c r="E180" s="2" t="s">
        <v>118</v>
      </c>
      <c r="F180" s="5" t="s">
        <v>17</v>
      </c>
    </row>
    <row r="181" spans="1:6" x14ac:dyDescent="0.2">
      <c r="A181" s="1">
        <v>2017</v>
      </c>
      <c r="B181" s="1">
        <v>17</v>
      </c>
      <c r="C181" s="2" t="s">
        <v>192</v>
      </c>
      <c r="D181" s="2" t="s">
        <v>295</v>
      </c>
      <c r="E181" s="2" t="s">
        <v>165</v>
      </c>
      <c r="F181" s="5" t="s">
        <v>17</v>
      </c>
    </row>
    <row r="182" spans="1:6" x14ac:dyDescent="0.2">
      <c r="A182" s="1">
        <v>2018</v>
      </c>
      <c r="B182" s="1">
        <v>17</v>
      </c>
      <c r="C182" s="2" t="s">
        <v>192</v>
      </c>
      <c r="D182" s="2" t="s">
        <v>296</v>
      </c>
      <c r="E182" s="2" t="s">
        <v>197</v>
      </c>
      <c r="F182" s="7" t="s">
        <v>21</v>
      </c>
    </row>
    <row r="183" spans="1:6" x14ac:dyDescent="0.2">
      <c r="A183" s="1">
        <v>2019</v>
      </c>
      <c r="B183" s="1">
        <v>17</v>
      </c>
      <c r="C183" s="2" t="s">
        <v>170</v>
      </c>
      <c r="D183" s="2" t="s">
        <v>297</v>
      </c>
      <c r="E183" s="2" t="s">
        <v>298</v>
      </c>
      <c r="F183" s="7" t="s">
        <v>21</v>
      </c>
    </row>
    <row r="184" spans="1:6" x14ac:dyDescent="0.2">
      <c r="A184" s="1">
        <v>2020</v>
      </c>
      <c r="B184" s="1">
        <v>17</v>
      </c>
      <c r="C184" s="2" t="s">
        <v>7</v>
      </c>
      <c r="D184" s="2" t="s">
        <v>299</v>
      </c>
      <c r="E184" s="2" t="s">
        <v>234</v>
      </c>
      <c r="F184" s="5" t="s">
        <v>17</v>
      </c>
    </row>
    <row r="185" spans="1:6" x14ac:dyDescent="0.2">
      <c r="A185" s="1">
        <v>2021</v>
      </c>
      <c r="B185" s="1">
        <v>17</v>
      </c>
      <c r="C185" s="2" t="s">
        <v>48</v>
      </c>
      <c r="D185" s="2" t="s">
        <v>300</v>
      </c>
      <c r="E185" s="2" t="s">
        <v>98</v>
      </c>
      <c r="F185" s="7" t="s">
        <v>21</v>
      </c>
    </row>
    <row r="186" spans="1:6" x14ac:dyDescent="0.2">
      <c r="A186" s="1">
        <v>2022</v>
      </c>
      <c r="B186" s="1">
        <v>17</v>
      </c>
      <c r="C186" s="2" t="s">
        <v>54</v>
      </c>
      <c r="D186" s="2" t="s">
        <v>301</v>
      </c>
      <c r="E186" s="2" t="s">
        <v>13</v>
      </c>
      <c r="F186" s="6" t="s">
        <v>63</v>
      </c>
    </row>
    <row r="187" spans="1:6" x14ac:dyDescent="0.2">
      <c r="A187" s="1">
        <v>2023</v>
      </c>
      <c r="B187" s="1">
        <v>17</v>
      </c>
      <c r="C187" s="2" t="s">
        <v>40</v>
      </c>
      <c r="D187" s="2" t="s">
        <v>302</v>
      </c>
      <c r="E187" s="2" t="s">
        <v>257</v>
      </c>
      <c r="F187" s="5" t="s">
        <v>17</v>
      </c>
    </row>
    <row r="188" spans="1:6" x14ac:dyDescent="0.2">
      <c r="A188" s="1">
        <v>2024</v>
      </c>
      <c r="B188" s="1">
        <v>17</v>
      </c>
      <c r="C188" s="2" t="s">
        <v>40</v>
      </c>
      <c r="D188" s="2" t="s">
        <v>303</v>
      </c>
      <c r="E188" s="2" t="s">
        <v>304</v>
      </c>
      <c r="F188" s="8" t="s">
        <v>37</v>
      </c>
    </row>
    <row r="189" spans="1:6" x14ac:dyDescent="0.2">
      <c r="A189" s="1">
        <v>2025</v>
      </c>
      <c r="B189" s="1">
        <v>17</v>
      </c>
      <c r="C189" s="2" t="s">
        <v>7</v>
      </c>
      <c r="D189" s="2" t="s">
        <v>305</v>
      </c>
      <c r="E189" s="2" t="s">
        <v>34</v>
      </c>
      <c r="F189" s="8" t="s">
        <v>37</v>
      </c>
    </row>
    <row r="190" spans="1:6" x14ac:dyDescent="0.2">
      <c r="A190" s="1">
        <v>2015</v>
      </c>
      <c r="B190" s="1">
        <v>18</v>
      </c>
      <c r="C190" s="2" t="s">
        <v>54</v>
      </c>
      <c r="D190" s="2" t="s">
        <v>306</v>
      </c>
      <c r="E190" s="2" t="s">
        <v>174</v>
      </c>
      <c r="F190" s="6" t="s">
        <v>63</v>
      </c>
    </row>
    <row r="191" spans="1:6" x14ac:dyDescent="0.2">
      <c r="A191" s="1">
        <v>2016</v>
      </c>
      <c r="B191" s="1">
        <v>18</v>
      </c>
      <c r="C191" s="2" t="s">
        <v>27</v>
      </c>
      <c r="D191" s="2" t="s">
        <v>307</v>
      </c>
      <c r="E191" s="2" t="s">
        <v>308</v>
      </c>
      <c r="F191" s="5" t="s">
        <v>17</v>
      </c>
    </row>
    <row r="192" spans="1:6" x14ac:dyDescent="0.2">
      <c r="A192" s="1">
        <v>2017</v>
      </c>
      <c r="B192" s="1">
        <v>18</v>
      </c>
      <c r="C192" s="2" t="s">
        <v>137</v>
      </c>
      <c r="D192" s="2" t="s">
        <v>309</v>
      </c>
      <c r="E192" s="2" t="s">
        <v>45</v>
      </c>
      <c r="F192" s="5" t="s">
        <v>17</v>
      </c>
    </row>
    <row r="193" spans="1:6" x14ac:dyDescent="0.2">
      <c r="A193" s="1">
        <v>2018</v>
      </c>
      <c r="B193" s="1">
        <v>18</v>
      </c>
      <c r="C193" s="2" t="s">
        <v>32</v>
      </c>
      <c r="D193" s="2" t="s">
        <v>310</v>
      </c>
      <c r="E193" s="2" t="s">
        <v>311</v>
      </c>
      <c r="F193" s="6" t="s">
        <v>63</v>
      </c>
    </row>
    <row r="194" spans="1:6" x14ac:dyDescent="0.2">
      <c r="A194" s="1">
        <v>2019</v>
      </c>
      <c r="B194" s="1">
        <v>18</v>
      </c>
      <c r="C194" s="2" t="s">
        <v>137</v>
      </c>
      <c r="D194" s="2" t="s">
        <v>312</v>
      </c>
      <c r="E194" s="2" t="s">
        <v>313</v>
      </c>
      <c r="F194" s="6" t="s">
        <v>63</v>
      </c>
    </row>
    <row r="195" spans="1:6" x14ac:dyDescent="0.2">
      <c r="A195" s="1">
        <v>2020</v>
      </c>
      <c r="B195" s="1">
        <v>18</v>
      </c>
      <c r="C195" s="2" t="s">
        <v>38</v>
      </c>
      <c r="D195" s="2" t="s">
        <v>314</v>
      </c>
      <c r="E195" s="2" t="s">
        <v>20</v>
      </c>
      <c r="F195" s="6" t="s">
        <v>63</v>
      </c>
    </row>
    <row r="196" spans="1:6" x14ac:dyDescent="0.2">
      <c r="A196" s="1">
        <v>2021</v>
      </c>
      <c r="B196" s="1">
        <v>18</v>
      </c>
      <c r="C196" s="2" t="s">
        <v>57</v>
      </c>
      <c r="D196" s="2" t="s">
        <v>315</v>
      </c>
      <c r="E196" s="2" t="s">
        <v>316</v>
      </c>
      <c r="F196" s="6" t="s">
        <v>63</v>
      </c>
    </row>
    <row r="197" spans="1:6" x14ac:dyDescent="0.2">
      <c r="A197" s="1">
        <v>2022</v>
      </c>
      <c r="B197" s="1">
        <v>18</v>
      </c>
      <c r="C197" s="2" t="s">
        <v>99</v>
      </c>
      <c r="D197" s="2" t="s">
        <v>317</v>
      </c>
      <c r="E197" s="2" t="s">
        <v>20</v>
      </c>
      <c r="F197" s="6" t="s">
        <v>63</v>
      </c>
    </row>
    <row r="198" spans="1:6" x14ac:dyDescent="0.2">
      <c r="A198" s="1">
        <v>2023</v>
      </c>
      <c r="B198" s="1">
        <v>18</v>
      </c>
      <c r="C198" s="2" t="s">
        <v>190</v>
      </c>
      <c r="D198" s="2" t="s">
        <v>318</v>
      </c>
      <c r="E198" s="2" t="s">
        <v>45</v>
      </c>
      <c r="F198" s="6" t="s">
        <v>63</v>
      </c>
    </row>
    <row r="199" spans="1:6" x14ac:dyDescent="0.2">
      <c r="A199" s="1">
        <v>2024</v>
      </c>
      <c r="B199" s="1">
        <v>18</v>
      </c>
      <c r="C199" s="2" t="s">
        <v>30</v>
      </c>
      <c r="D199" s="2" t="s">
        <v>319</v>
      </c>
      <c r="E199" s="2" t="s">
        <v>206</v>
      </c>
      <c r="F199" s="8" t="s">
        <v>37</v>
      </c>
    </row>
    <row r="200" spans="1:6" x14ac:dyDescent="0.2">
      <c r="A200" s="1">
        <v>2025</v>
      </c>
      <c r="B200" s="1">
        <v>18</v>
      </c>
      <c r="C200" s="2" t="s">
        <v>64</v>
      </c>
      <c r="D200" s="2" t="s">
        <v>320</v>
      </c>
      <c r="E200" s="2" t="s">
        <v>316</v>
      </c>
      <c r="F200" s="8" t="s">
        <v>37</v>
      </c>
    </row>
    <row r="201" spans="1:6" x14ac:dyDescent="0.2">
      <c r="A201" s="1">
        <v>2015</v>
      </c>
      <c r="B201" s="1">
        <v>19</v>
      </c>
      <c r="C201" s="2" t="s">
        <v>64</v>
      </c>
      <c r="D201" s="2" t="s">
        <v>321</v>
      </c>
      <c r="E201" s="2" t="s">
        <v>322</v>
      </c>
      <c r="F201" s="5" t="s">
        <v>17</v>
      </c>
    </row>
    <row r="202" spans="1:6" x14ac:dyDescent="0.2">
      <c r="A202" s="1">
        <v>2016</v>
      </c>
      <c r="B202" s="1">
        <v>19</v>
      </c>
      <c r="C202" s="2" t="s">
        <v>143</v>
      </c>
      <c r="D202" s="2" t="s">
        <v>323</v>
      </c>
      <c r="E202" s="2" t="s">
        <v>101</v>
      </c>
      <c r="F202" s="7" t="s">
        <v>21</v>
      </c>
    </row>
    <row r="203" spans="1:6" x14ac:dyDescent="0.2">
      <c r="A203" s="1">
        <v>2017</v>
      </c>
      <c r="B203" s="1">
        <v>19</v>
      </c>
      <c r="C203" s="2" t="s">
        <v>35</v>
      </c>
      <c r="D203" s="2" t="s">
        <v>324</v>
      </c>
      <c r="E203" s="2" t="s">
        <v>325</v>
      </c>
      <c r="F203" s="7" t="s">
        <v>21</v>
      </c>
    </row>
    <row r="204" spans="1:6" x14ac:dyDescent="0.2">
      <c r="A204" s="1">
        <v>2018</v>
      </c>
      <c r="B204" s="1">
        <v>19</v>
      </c>
      <c r="C204" s="2" t="s">
        <v>35</v>
      </c>
      <c r="D204" s="2" t="s">
        <v>326</v>
      </c>
      <c r="E204" s="2" t="s">
        <v>200</v>
      </c>
      <c r="F204" s="6" t="s">
        <v>63</v>
      </c>
    </row>
    <row r="205" spans="1:6" x14ac:dyDescent="0.2">
      <c r="A205" s="1">
        <v>2019</v>
      </c>
      <c r="B205" s="1">
        <v>19</v>
      </c>
      <c r="C205" s="2" t="s">
        <v>32</v>
      </c>
      <c r="D205" s="2" t="s">
        <v>327</v>
      </c>
      <c r="E205" s="2" t="s">
        <v>92</v>
      </c>
      <c r="F205" s="5" t="s">
        <v>17</v>
      </c>
    </row>
    <row r="206" spans="1:6" x14ac:dyDescent="0.2">
      <c r="A206" s="1">
        <v>2020</v>
      </c>
      <c r="B206" s="1">
        <v>19</v>
      </c>
      <c r="C206" s="2" t="s">
        <v>170</v>
      </c>
      <c r="D206" s="2" t="s">
        <v>328</v>
      </c>
      <c r="E206" s="2" t="s">
        <v>197</v>
      </c>
      <c r="F206" s="7" t="s">
        <v>21</v>
      </c>
    </row>
    <row r="207" spans="1:6" x14ac:dyDescent="0.2">
      <c r="A207" s="1">
        <v>2021</v>
      </c>
      <c r="B207" s="1">
        <v>19</v>
      </c>
      <c r="C207" s="2" t="s">
        <v>75</v>
      </c>
      <c r="D207" s="2" t="s">
        <v>329</v>
      </c>
      <c r="E207" s="2" t="s">
        <v>131</v>
      </c>
      <c r="F207" s="5" t="s">
        <v>17</v>
      </c>
    </row>
    <row r="208" spans="1:6" x14ac:dyDescent="0.2">
      <c r="A208" s="1">
        <v>2022</v>
      </c>
      <c r="B208" s="1">
        <v>19</v>
      </c>
      <c r="C208" s="2" t="s">
        <v>7</v>
      </c>
      <c r="D208" s="2" t="s">
        <v>330</v>
      </c>
      <c r="E208" s="2" t="s">
        <v>325</v>
      </c>
      <c r="F208" s="6" t="s">
        <v>63</v>
      </c>
    </row>
    <row r="209" spans="1:6" x14ac:dyDescent="0.2">
      <c r="A209" s="1">
        <v>2023</v>
      </c>
      <c r="B209" s="1">
        <v>19</v>
      </c>
      <c r="C209" s="2" t="s">
        <v>51</v>
      </c>
      <c r="D209" s="2" t="s">
        <v>331</v>
      </c>
      <c r="E209" s="2" t="s">
        <v>231</v>
      </c>
      <c r="F209" s="7" t="s">
        <v>21</v>
      </c>
    </row>
    <row r="210" spans="1:6" x14ac:dyDescent="0.2">
      <c r="A210" s="1">
        <v>2024</v>
      </c>
      <c r="B210" s="1">
        <v>19</v>
      </c>
      <c r="C210" s="2" t="s">
        <v>102</v>
      </c>
      <c r="D210" s="2" t="s">
        <v>332</v>
      </c>
      <c r="E210" s="2" t="s">
        <v>88</v>
      </c>
      <c r="F210" s="8" t="s">
        <v>37</v>
      </c>
    </row>
    <row r="211" spans="1:6" x14ac:dyDescent="0.2">
      <c r="A211" s="1">
        <v>2025</v>
      </c>
      <c r="B211" s="1">
        <v>19</v>
      </c>
      <c r="C211" s="2" t="s">
        <v>170</v>
      </c>
      <c r="D211" s="2" t="s">
        <v>333</v>
      </c>
      <c r="E211" s="2" t="s">
        <v>34</v>
      </c>
      <c r="F211" s="8" t="s">
        <v>37</v>
      </c>
    </row>
    <row r="212" spans="1:6" x14ac:dyDescent="0.2">
      <c r="A212" s="1">
        <v>2015</v>
      </c>
      <c r="B212" s="1">
        <v>20</v>
      </c>
      <c r="C212" s="2" t="s">
        <v>102</v>
      </c>
      <c r="D212" s="2" t="s">
        <v>334</v>
      </c>
      <c r="E212" s="2" t="s">
        <v>176</v>
      </c>
      <c r="F212" s="6" t="s">
        <v>63</v>
      </c>
    </row>
    <row r="213" spans="1:6" x14ac:dyDescent="0.2">
      <c r="A213" s="1">
        <v>2016</v>
      </c>
      <c r="B213" s="1">
        <v>20</v>
      </c>
      <c r="C213" s="2" t="s">
        <v>137</v>
      </c>
      <c r="D213" s="2" t="s">
        <v>335</v>
      </c>
      <c r="E213" s="2" t="s">
        <v>165</v>
      </c>
      <c r="F213" s="7" t="s">
        <v>21</v>
      </c>
    </row>
    <row r="214" spans="1:6" x14ac:dyDescent="0.2">
      <c r="A214" s="1">
        <v>2017</v>
      </c>
      <c r="B214" s="1">
        <v>20</v>
      </c>
      <c r="C214" s="2" t="s">
        <v>84</v>
      </c>
      <c r="D214" s="2" t="s">
        <v>336</v>
      </c>
      <c r="E214" s="2" t="s">
        <v>24</v>
      </c>
      <c r="F214" s="5" t="s">
        <v>17</v>
      </c>
    </row>
    <row r="215" spans="1:6" x14ac:dyDescent="0.2">
      <c r="A215" s="1">
        <v>2018</v>
      </c>
      <c r="B215" s="1">
        <v>20</v>
      </c>
      <c r="C215" s="2" t="s">
        <v>7</v>
      </c>
      <c r="D215" s="2" t="s">
        <v>337</v>
      </c>
      <c r="E215" s="2" t="s">
        <v>338</v>
      </c>
      <c r="F215" s="6" t="s">
        <v>63</v>
      </c>
    </row>
    <row r="216" spans="1:6" x14ac:dyDescent="0.2">
      <c r="A216" s="1">
        <v>2019</v>
      </c>
      <c r="B216" s="1">
        <v>20</v>
      </c>
      <c r="C216" s="2" t="s">
        <v>69</v>
      </c>
      <c r="D216" s="2" t="s">
        <v>339</v>
      </c>
      <c r="E216" s="2" t="s">
        <v>16</v>
      </c>
      <c r="F216" s="6" t="s">
        <v>63</v>
      </c>
    </row>
    <row r="217" spans="1:6" x14ac:dyDescent="0.2">
      <c r="A217" s="1">
        <v>2020</v>
      </c>
      <c r="B217" s="1">
        <v>20</v>
      </c>
      <c r="C217" s="2" t="s">
        <v>190</v>
      </c>
      <c r="D217" s="2" t="s">
        <v>340</v>
      </c>
      <c r="E217" s="2" t="s">
        <v>53</v>
      </c>
      <c r="F217" s="6" t="s">
        <v>63</v>
      </c>
    </row>
    <row r="218" spans="1:6" x14ac:dyDescent="0.2">
      <c r="A218" s="1">
        <v>2021</v>
      </c>
      <c r="B218" s="1">
        <v>20</v>
      </c>
      <c r="C218" s="2" t="s">
        <v>35</v>
      </c>
      <c r="D218" s="2" t="s">
        <v>341</v>
      </c>
      <c r="E218" s="2" t="s">
        <v>24</v>
      </c>
      <c r="F218" s="4" t="s">
        <v>14</v>
      </c>
    </row>
    <row r="219" spans="1:6" x14ac:dyDescent="0.2">
      <c r="A219" s="1">
        <v>2022</v>
      </c>
      <c r="B219" s="1">
        <v>20</v>
      </c>
      <c r="C219" s="2" t="s">
        <v>32</v>
      </c>
      <c r="D219" s="2" t="s">
        <v>342</v>
      </c>
      <c r="E219" s="2" t="s">
        <v>42</v>
      </c>
      <c r="F219" s="6" t="s">
        <v>63</v>
      </c>
    </row>
    <row r="220" spans="1:6" x14ac:dyDescent="0.2">
      <c r="A220" s="1">
        <v>2023</v>
      </c>
      <c r="B220" s="1">
        <v>20</v>
      </c>
      <c r="C220" s="2" t="s">
        <v>54</v>
      </c>
      <c r="D220" s="2" t="s">
        <v>343</v>
      </c>
      <c r="E220" s="2" t="s">
        <v>197</v>
      </c>
      <c r="F220" s="6" t="s">
        <v>63</v>
      </c>
    </row>
    <row r="221" spans="1:6" x14ac:dyDescent="0.2">
      <c r="A221" s="1">
        <v>2024</v>
      </c>
      <c r="B221" s="1">
        <v>20</v>
      </c>
      <c r="C221" s="2" t="s">
        <v>79</v>
      </c>
      <c r="D221" s="2" t="s">
        <v>344</v>
      </c>
      <c r="E221" s="2" t="s">
        <v>71</v>
      </c>
      <c r="F221" s="8" t="s">
        <v>37</v>
      </c>
    </row>
    <row r="222" spans="1:6" x14ac:dyDescent="0.2">
      <c r="A222" s="1">
        <v>2025</v>
      </c>
      <c r="B222" s="1">
        <v>20</v>
      </c>
      <c r="C222" s="2" t="s">
        <v>190</v>
      </c>
      <c r="D222" s="2" t="s">
        <v>345</v>
      </c>
      <c r="E222" s="2" t="s">
        <v>346</v>
      </c>
      <c r="F222" s="8" t="s">
        <v>37</v>
      </c>
    </row>
    <row r="223" spans="1:6" x14ac:dyDescent="0.2">
      <c r="A223" s="1">
        <v>2015</v>
      </c>
      <c r="B223" s="1">
        <v>21</v>
      </c>
      <c r="C223" s="2" t="s">
        <v>38</v>
      </c>
      <c r="D223" s="2" t="s">
        <v>347</v>
      </c>
      <c r="E223" s="2" t="s">
        <v>98</v>
      </c>
      <c r="F223" s="5" t="s">
        <v>17</v>
      </c>
    </row>
    <row r="224" spans="1:6" x14ac:dyDescent="0.2">
      <c r="A224" s="1">
        <v>2016</v>
      </c>
      <c r="B224" s="1">
        <v>21</v>
      </c>
      <c r="C224" s="2" t="s">
        <v>35</v>
      </c>
      <c r="D224" s="2" t="s">
        <v>348</v>
      </c>
      <c r="E224" s="2" t="s">
        <v>349</v>
      </c>
      <c r="F224" s="6" t="s">
        <v>63</v>
      </c>
    </row>
    <row r="225" spans="1:6" x14ac:dyDescent="0.2">
      <c r="A225" s="1">
        <v>2017</v>
      </c>
      <c r="B225" s="1">
        <v>21</v>
      </c>
      <c r="C225" s="2" t="s">
        <v>57</v>
      </c>
      <c r="D225" s="2" t="s">
        <v>350</v>
      </c>
      <c r="E225" s="2" t="s">
        <v>194</v>
      </c>
      <c r="F225" s="5" t="s">
        <v>17</v>
      </c>
    </row>
    <row r="226" spans="1:6" x14ac:dyDescent="0.2">
      <c r="A226" s="1">
        <v>2018</v>
      </c>
      <c r="B226" s="1">
        <v>21</v>
      </c>
      <c r="C226" s="2" t="s">
        <v>125</v>
      </c>
      <c r="D226" s="2" t="s">
        <v>351</v>
      </c>
      <c r="E226" s="2" t="s">
        <v>24</v>
      </c>
      <c r="F226" s="6" t="s">
        <v>63</v>
      </c>
    </row>
    <row r="227" spans="1:6" x14ac:dyDescent="0.2">
      <c r="A227" s="1">
        <v>2019</v>
      </c>
      <c r="B227" s="1">
        <v>21</v>
      </c>
      <c r="C227" s="2" t="s">
        <v>57</v>
      </c>
      <c r="D227" s="2" t="s">
        <v>352</v>
      </c>
      <c r="E227" s="2" t="s">
        <v>59</v>
      </c>
      <c r="F227" s="6" t="s">
        <v>63</v>
      </c>
    </row>
    <row r="228" spans="1:6" x14ac:dyDescent="0.2">
      <c r="A228" s="1">
        <v>2020</v>
      </c>
      <c r="B228" s="1">
        <v>21</v>
      </c>
      <c r="C228" s="2" t="s">
        <v>11</v>
      </c>
      <c r="D228" s="2" t="s">
        <v>353</v>
      </c>
      <c r="E228" s="2" t="s">
        <v>9</v>
      </c>
      <c r="F228" s="3" t="s">
        <v>10</v>
      </c>
    </row>
    <row r="229" spans="1:6" x14ac:dyDescent="0.2">
      <c r="A229" s="1">
        <v>2021</v>
      </c>
      <c r="B229" s="1">
        <v>21</v>
      </c>
      <c r="C229" s="2" t="s">
        <v>75</v>
      </c>
      <c r="D229" s="2" t="s">
        <v>354</v>
      </c>
      <c r="E229" s="2" t="s">
        <v>304</v>
      </c>
      <c r="F229" s="5" t="s">
        <v>17</v>
      </c>
    </row>
    <row r="230" spans="1:6" x14ac:dyDescent="0.2">
      <c r="A230" s="1">
        <v>2022</v>
      </c>
      <c r="B230" s="1">
        <v>21</v>
      </c>
      <c r="C230" s="2" t="s">
        <v>143</v>
      </c>
      <c r="D230" s="2" t="s">
        <v>355</v>
      </c>
      <c r="E230" s="2" t="s">
        <v>94</v>
      </c>
      <c r="F230" s="7" t="s">
        <v>21</v>
      </c>
    </row>
    <row r="231" spans="1:6" x14ac:dyDescent="0.2">
      <c r="A231" s="1">
        <v>2023</v>
      </c>
      <c r="B231" s="1">
        <v>21</v>
      </c>
      <c r="C231" s="2" t="s">
        <v>170</v>
      </c>
      <c r="D231" s="2" t="s">
        <v>356</v>
      </c>
      <c r="E231" s="2" t="s">
        <v>62</v>
      </c>
      <c r="F231" s="6" t="s">
        <v>63</v>
      </c>
    </row>
    <row r="232" spans="1:6" x14ac:dyDescent="0.2">
      <c r="A232" s="1">
        <v>2024</v>
      </c>
      <c r="B232" s="1">
        <v>21</v>
      </c>
      <c r="C232" s="2" t="s">
        <v>22</v>
      </c>
      <c r="D232" s="2" t="s">
        <v>357</v>
      </c>
      <c r="E232" s="2" t="s">
        <v>88</v>
      </c>
      <c r="F232" s="8" t="s">
        <v>37</v>
      </c>
    </row>
    <row r="233" spans="1:6" x14ac:dyDescent="0.2">
      <c r="A233" s="1">
        <v>2025</v>
      </c>
      <c r="B233" s="1">
        <v>21</v>
      </c>
      <c r="C233" s="2" t="s">
        <v>125</v>
      </c>
      <c r="D233" s="2" t="s">
        <v>358</v>
      </c>
      <c r="E233" s="2" t="s">
        <v>346</v>
      </c>
      <c r="F233" s="8" t="s">
        <v>37</v>
      </c>
    </row>
    <row r="234" spans="1:6" x14ac:dyDescent="0.2">
      <c r="A234" s="1">
        <v>2015</v>
      </c>
      <c r="B234" s="1">
        <v>22</v>
      </c>
      <c r="C234" s="2" t="s">
        <v>99</v>
      </c>
      <c r="D234" s="2" t="s">
        <v>359</v>
      </c>
      <c r="E234" s="2" t="s">
        <v>140</v>
      </c>
      <c r="F234" s="7" t="s">
        <v>21</v>
      </c>
    </row>
    <row r="235" spans="1:6" x14ac:dyDescent="0.2">
      <c r="A235" s="1">
        <v>2016</v>
      </c>
      <c r="B235" s="1">
        <v>22</v>
      </c>
      <c r="C235" s="2" t="s">
        <v>60</v>
      </c>
      <c r="D235" s="2" t="s">
        <v>360</v>
      </c>
      <c r="E235" s="2" t="s">
        <v>361</v>
      </c>
      <c r="F235" s="5" t="s">
        <v>17</v>
      </c>
    </row>
    <row r="236" spans="1:6" x14ac:dyDescent="0.2">
      <c r="A236" s="1">
        <v>2017</v>
      </c>
      <c r="B236" s="1">
        <v>22</v>
      </c>
      <c r="C236" s="2" t="s">
        <v>170</v>
      </c>
      <c r="D236" s="2" t="s">
        <v>362</v>
      </c>
      <c r="E236" s="2" t="s">
        <v>131</v>
      </c>
      <c r="F236" s="7" t="s">
        <v>21</v>
      </c>
    </row>
    <row r="237" spans="1:6" x14ac:dyDescent="0.2">
      <c r="A237" s="1">
        <v>2018</v>
      </c>
      <c r="B237" s="1">
        <v>22</v>
      </c>
      <c r="C237" s="2" t="s">
        <v>99</v>
      </c>
      <c r="D237" s="2" t="s">
        <v>363</v>
      </c>
      <c r="E237" s="2" t="s">
        <v>364</v>
      </c>
      <c r="F237" s="5" t="s">
        <v>17</v>
      </c>
    </row>
    <row r="238" spans="1:6" x14ac:dyDescent="0.2">
      <c r="A238" s="1">
        <v>2019</v>
      </c>
      <c r="B238" s="1">
        <v>22</v>
      </c>
      <c r="C238" s="2" t="s">
        <v>69</v>
      </c>
      <c r="D238" s="2" t="s">
        <v>365</v>
      </c>
      <c r="E238" s="2" t="s">
        <v>304</v>
      </c>
      <c r="F238" s="6" t="s">
        <v>63</v>
      </c>
    </row>
    <row r="239" spans="1:6" x14ac:dyDescent="0.2">
      <c r="A239" s="1">
        <v>2020</v>
      </c>
      <c r="B239" s="1">
        <v>22</v>
      </c>
      <c r="C239" s="2" t="s">
        <v>143</v>
      </c>
      <c r="D239" s="2" t="s">
        <v>366</v>
      </c>
      <c r="E239" s="2" t="s">
        <v>20</v>
      </c>
      <c r="F239" s="5" t="s">
        <v>17</v>
      </c>
    </row>
    <row r="240" spans="1:6" x14ac:dyDescent="0.2">
      <c r="A240" s="1">
        <v>2021</v>
      </c>
      <c r="B240" s="1">
        <v>22</v>
      </c>
      <c r="C240" s="2" t="s">
        <v>40</v>
      </c>
      <c r="D240" s="2" t="s">
        <v>367</v>
      </c>
      <c r="E240" s="2" t="s">
        <v>9</v>
      </c>
      <c r="F240" s="6" t="s">
        <v>63</v>
      </c>
    </row>
    <row r="241" spans="1:6" x14ac:dyDescent="0.2">
      <c r="A241" s="1">
        <v>2022</v>
      </c>
      <c r="B241" s="1">
        <v>22</v>
      </c>
      <c r="C241" s="2" t="s">
        <v>48</v>
      </c>
      <c r="D241" s="2" t="s">
        <v>368</v>
      </c>
      <c r="E241" s="2" t="s">
        <v>83</v>
      </c>
      <c r="F241" s="4" t="s">
        <v>14</v>
      </c>
    </row>
    <row r="242" spans="1:6" x14ac:dyDescent="0.2">
      <c r="A242" s="1">
        <v>2023</v>
      </c>
      <c r="B242" s="1">
        <v>22</v>
      </c>
      <c r="C242" s="2" t="s">
        <v>170</v>
      </c>
      <c r="D242" s="2" t="s">
        <v>369</v>
      </c>
      <c r="E242" s="2" t="s">
        <v>24</v>
      </c>
      <c r="F242" s="5" t="s">
        <v>17</v>
      </c>
    </row>
    <row r="243" spans="1:6" x14ac:dyDescent="0.2">
      <c r="A243" s="1">
        <v>2024</v>
      </c>
      <c r="B243" s="1">
        <v>22</v>
      </c>
      <c r="C243" s="2" t="s">
        <v>18</v>
      </c>
      <c r="D243" s="2" t="s">
        <v>370</v>
      </c>
      <c r="E243" s="2" t="s">
        <v>163</v>
      </c>
      <c r="F243" s="8" t="s">
        <v>37</v>
      </c>
    </row>
    <row r="244" spans="1:6" x14ac:dyDescent="0.2">
      <c r="A244" s="1">
        <v>2025</v>
      </c>
      <c r="B244" s="1">
        <v>22</v>
      </c>
      <c r="C244" s="2" t="s">
        <v>35</v>
      </c>
      <c r="D244" s="2" t="s">
        <v>371</v>
      </c>
      <c r="E244" s="2" t="s">
        <v>150</v>
      </c>
      <c r="F244" s="8" t="s">
        <v>37</v>
      </c>
    </row>
    <row r="245" spans="1:6" x14ac:dyDescent="0.2">
      <c r="A245" s="1">
        <v>2015</v>
      </c>
      <c r="B245" s="1">
        <v>23</v>
      </c>
      <c r="C245" s="2" t="s">
        <v>84</v>
      </c>
      <c r="D245" s="2" t="s">
        <v>372</v>
      </c>
      <c r="E245" s="2" t="s">
        <v>20</v>
      </c>
      <c r="F245" s="6" t="s">
        <v>63</v>
      </c>
    </row>
    <row r="246" spans="1:6" x14ac:dyDescent="0.2">
      <c r="A246" s="1">
        <v>2016</v>
      </c>
      <c r="B246" s="1">
        <v>23</v>
      </c>
      <c r="C246" s="2" t="s">
        <v>69</v>
      </c>
      <c r="D246" s="2" t="s">
        <v>373</v>
      </c>
      <c r="E246" s="2" t="s">
        <v>92</v>
      </c>
      <c r="F246" s="5" t="s">
        <v>17</v>
      </c>
    </row>
    <row r="247" spans="1:6" x14ac:dyDescent="0.2">
      <c r="A247" s="1">
        <v>2017</v>
      </c>
      <c r="B247" s="1">
        <v>23</v>
      </c>
      <c r="C247" s="2" t="s">
        <v>102</v>
      </c>
      <c r="D247" s="2" t="s">
        <v>374</v>
      </c>
      <c r="E247" s="2" t="s">
        <v>257</v>
      </c>
      <c r="F247" s="4" t="s">
        <v>14</v>
      </c>
    </row>
    <row r="248" spans="1:6" x14ac:dyDescent="0.2">
      <c r="A248" s="1">
        <v>2018</v>
      </c>
      <c r="B248" s="1">
        <v>23</v>
      </c>
      <c r="C248" s="2" t="s">
        <v>137</v>
      </c>
      <c r="D248" s="2" t="s">
        <v>375</v>
      </c>
      <c r="E248" s="2" t="s">
        <v>45</v>
      </c>
      <c r="F248" s="6" t="s">
        <v>63</v>
      </c>
    </row>
    <row r="249" spans="1:6" x14ac:dyDescent="0.2">
      <c r="A249" s="1">
        <v>2019</v>
      </c>
      <c r="B249" s="1">
        <v>23</v>
      </c>
      <c r="C249" s="2" t="s">
        <v>125</v>
      </c>
      <c r="D249" s="2" t="s">
        <v>376</v>
      </c>
      <c r="E249" s="2" t="s">
        <v>377</v>
      </c>
      <c r="F249" s="5" t="s">
        <v>17</v>
      </c>
    </row>
    <row r="250" spans="1:6" x14ac:dyDescent="0.2">
      <c r="A250" s="1">
        <v>2020</v>
      </c>
      <c r="B250" s="1">
        <v>23</v>
      </c>
      <c r="C250" s="2" t="s">
        <v>75</v>
      </c>
      <c r="D250" s="2" t="s">
        <v>378</v>
      </c>
      <c r="E250" s="2" t="s">
        <v>379</v>
      </c>
      <c r="F250" s="5" t="s">
        <v>17</v>
      </c>
    </row>
    <row r="251" spans="1:6" x14ac:dyDescent="0.2">
      <c r="A251" s="1">
        <v>2021</v>
      </c>
      <c r="B251" s="1">
        <v>23</v>
      </c>
      <c r="C251" s="2" t="s">
        <v>54</v>
      </c>
      <c r="D251" s="2" t="s">
        <v>380</v>
      </c>
      <c r="E251" s="2" t="s">
        <v>267</v>
      </c>
      <c r="F251" s="5" t="s">
        <v>17</v>
      </c>
    </row>
    <row r="252" spans="1:6" x14ac:dyDescent="0.2">
      <c r="A252" s="1">
        <v>2022</v>
      </c>
      <c r="B252" s="1">
        <v>23</v>
      </c>
      <c r="C252" s="2" t="s">
        <v>11</v>
      </c>
      <c r="D252" s="2" t="s">
        <v>381</v>
      </c>
      <c r="E252" s="2" t="s">
        <v>382</v>
      </c>
      <c r="F252" s="5" t="s">
        <v>17</v>
      </c>
    </row>
    <row r="253" spans="1:6" x14ac:dyDescent="0.2">
      <c r="A253" s="1">
        <v>2023</v>
      </c>
      <c r="B253" s="1">
        <v>23</v>
      </c>
      <c r="C253" s="2" t="s">
        <v>84</v>
      </c>
      <c r="D253" s="2" t="s">
        <v>383</v>
      </c>
      <c r="E253" s="2" t="s">
        <v>105</v>
      </c>
      <c r="F253" s="5" t="s">
        <v>17</v>
      </c>
    </row>
    <row r="254" spans="1:6" x14ac:dyDescent="0.2">
      <c r="A254" s="1">
        <v>2024</v>
      </c>
      <c r="B254" s="1">
        <v>23</v>
      </c>
      <c r="C254" s="2" t="s">
        <v>192</v>
      </c>
      <c r="D254" s="2" t="s">
        <v>384</v>
      </c>
      <c r="E254" s="2" t="s">
        <v>56</v>
      </c>
      <c r="F254" s="8" t="s">
        <v>37</v>
      </c>
    </row>
    <row r="255" spans="1:6" x14ac:dyDescent="0.2">
      <c r="A255" s="1">
        <v>2025</v>
      </c>
      <c r="B255" s="1">
        <v>23</v>
      </c>
      <c r="C255" s="2" t="s">
        <v>35</v>
      </c>
      <c r="D255" s="2" t="s">
        <v>385</v>
      </c>
      <c r="E255" s="2" t="s">
        <v>26</v>
      </c>
      <c r="F255" s="8" t="s">
        <v>37</v>
      </c>
    </row>
    <row r="256" spans="1:6" x14ac:dyDescent="0.2">
      <c r="A256" s="1">
        <v>2015</v>
      </c>
      <c r="B256" s="1">
        <v>24</v>
      </c>
      <c r="C256" s="2" t="s">
        <v>79</v>
      </c>
      <c r="D256" s="2" t="s">
        <v>386</v>
      </c>
      <c r="E256" s="2" t="s">
        <v>24</v>
      </c>
      <c r="F256" s="7" t="s">
        <v>21</v>
      </c>
    </row>
    <row r="257" spans="1:6" x14ac:dyDescent="0.2">
      <c r="A257" s="1">
        <v>2016</v>
      </c>
      <c r="B257" s="1">
        <v>24</v>
      </c>
      <c r="C257" s="2" t="s">
        <v>11</v>
      </c>
      <c r="D257" s="2" t="s">
        <v>387</v>
      </c>
      <c r="E257" s="2" t="s">
        <v>34</v>
      </c>
      <c r="F257" s="6" t="s">
        <v>63</v>
      </c>
    </row>
    <row r="258" spans="1:6" x14ac:dyDescent="0.2">
      <c r="A258" s="1">
        <v>2017</v>
      </c>
      <c r="B258" s="1">
        <v>24</v>
      </c>
      <c r="C258" s="2" t="s">
        <v>125</v>
      </c>
      <c r="D258" s="2" t="s">
        <v>388</v>
      </c>
      <c r="E258" s="2" t="s">
        <v>361</v>
      </c>
      <c r="F258" s="5" t="s">
        <v>17</v>
      </c>
    </row>
    <row r="259" spans="1:6" x14ac:dyDescent="0.2">
      <c r="A259" s="1">
        <v>2018</v>
      </c>
      <c r="B259" s="1">
        <v>24</v>
      </c>
      <c r="C259" s="2" t="s">
        <v>84</v>
      </c>
      <c r="D259" s="2" t="s">
        <v>389</v>
      </c>
      <c r="E259" s="2" t="s">
        <v>377</v>
      </c>
      <c r="F259" s="7" t="s">
        <v>21</v>
      </c>
    </row>
    <row r="260" spans="1:6" x14ac:dyDescent="0.2">
      <c r="A260" s="1">
        <v>2019</v>
      </c>
      <c r="B260" s="1">
        <v>24</v>
      </c>
      <c r="C260" s="2" t="s">
        <v>11</v>
      </c>
      <c r="D260" s="2" t="s">
        <v>390</v>
      </c>
      <c r="E260" s="2" t="s">
        <v>98</v>
      </c>
      <c r="F260" s="6" t="s">
        <v>63</v>
      </c>
    </row>
    <row r="261" spans="1:6" x14ac:dyDescent="0.2">
      <c r="A261" s="1">
        <v>2020</v>
      </c>
      <c r="B261" s="1">
        <v>24</v>
      </c>
      <c r="C261" s="2" t="s">
        <v>192</v>
      </c>
      <c r="D261" s="2" t="s">
        <v>391</v>
      </c>
      <c r="E261" s="2" t="s">
        <v>392</v>
      </c>
      <c r="F261" s="5" t="s">
        <v>17</v>
      </c>
    </row>
    <row r="262" spans="1:6" x14ac:dyDescent="0.2">
      <c r="A262" s="1">
        <v>2021</v>
      </c>
      <c r="B262" s="1">
        <v>24</v>
      </c>
      <c r="C262" s="2" t="s">
        <v>54</v>
      </c>
      <c r="D262" s="2" t="s">
        <v>393</v>
      </c>
      <c r="E262" s="2" t="s">
        <v>394</v>
      </c>
      <c r="F262" s="5" t="s">
        <v>17</v>
      </c>
    </row>
    <row r="263" spans="1:6" x14ac:dyDescent="0.2">
      <c r="A263" s="1">
        <v>2022</v>
      </c>
      <c r="B263" s="1">
        <v>24</v>
      </c>
      <c r="C263" s="2" t="s">
        <v>192</v>
      </c>
      <c r="D263" s="2" t="s">
        <v>395</v>
      </c>
      <c r="E263" s="2" t="s">
        <v>56</v>
      </c>
      <c r="F263" s="5" t="s">
        <v>17</v>
      </c>
    </row>
    <row r="264" spans="1:6" x14ac:dyDescent="0.2">
      <c r="A264" s="1">
        <v>2023</v>
      </c>
      <c r="B264" s="1">
        <v>24</v>
      </c>
      <c r="C264" s="2" t="s">
        <v>46</v>
      </c>
      <c r="D264" s="2" t="s">
        <v>396</v>
      </c>
      <c r="E264" s="2" t="s">
        <v>308</v>
      </c>
      <c r="F264" s="5" t="s">
        <v>17</v>
      </c>
    </row>
    <row r="265" spans="1:6" x14ac:dyDescent="0.2">
      <c r="A265" s="1">
        <v>2024</v>
      </c>
      <c r="B265" s="1">
        <v>24</v>
      </c>
      <c r="C265" s="2" t="s">
        <v>75</v>
      </c>
      <c r="D265" s="2" t="s">
        <v>397</v>
      </c>
      <c r="E265" s="2" t="s">
        <v>311</v>
      </c>
      <c r="F265" s="8" t="s">
        <v>37</v>
      </c>
    </row>
    <row r="266" spans="1:6" x14ac:dyDescent="0.2">
      <c r="A266" s="1">
        <v>2025</v>
      </c>
      <c r="B266" s="1">
        <v>24</v>
      </c>
      <c r="C266" s="2" t="s">
        <v>57</v>
      </c>
      <c r="D266" s="2" t="s">
        <v>398</v>
      </c>
      <c r="E266" s="2" t="s">
        <v>382</v>
      </c>
      <c r="F266" s="8" t="s">
        <v>37</v>
      </c>
    </row>
    <row r="267" spans="1:6" x14ac:dyDescent="0.2">
      <c r="A267" s="1">
        <v>2015</v>
      </c>
      <c r="B267" s="1">
        <v>25</v>
      </c>
      <c r="C267" s="2" t="s">
        <v>48</v>
      </c>
      <c r="D267" s="2" t="s">
        <v>399</v>
      </c>
      <c r="E267" s="2" t="s">
        <v>13</v>
      </c>
      <c r="F267" s="5" t="s">
        <v>17</v>
      </c>
    </row>
    <row r="268" spans="1:6" x14ac:dyDescent="0.2">
      <c r="A268" s="1">
        <v>2016</v>
      </c>
      <c r="B268" s="1">
        <v>25</v>
      </c>
      <c r="C268" s="2" t="s">
        <v>224</v>
      </c>
      <c r="D268" s="2" t="s">
        <v>400</v>
      </c>
      <c r="E268" s="2" t="s">
        <v>150</v>
      </c>
      <c r="F268" s="5" t="s">
        <v>17</v>
      </c>
    </row>
    <row r="269" spans="1:6" x14ac:dyDescent="0.2">
      <c r="A269" s="1">
        <v>2017</v>
      </c>
      <c r="B269" s="1">
        <v>25</v>
      </c>
      <c r="C269" s="2" t="s">
        <v>30</v>
      </c>
      <c r="D269" s="2" t="s">
        <v>401</v>
      </c>
      <c r="E269" s="2" t="s">
        <v>90</v>
      </c>
      <c r="F269" s="5" t="s">
        <v>17</v>
      </c>
    </row>
    <row r="270" spans="1:6" x14ac:dyDescent="0.2">
      <c r="A270" s="1">
        <v>2018</v>
      </c>
      <c r="B270" s="1">
        <v>25</v>
      </c>
      <c r="C270" s="2" t="s">
        <v>40</v>
      </c>
      <c r="D270" s="2" t="s">
        <v>402</v>
      </c>
      <c r="E270" s="2" t="s">
        <v>165</v>
      </c>
      <c r="F270" s="6" t="s">
        <v>63</v>
      </c>
    </row>
    <row r="271" spans="1:6" x14ac:dyDescent="0.2">
      <c r="A271" s="1">
        <v>2019</v>
      </c>
      <c r="B271" s="1">
        <v>25</v>
      </c>
      <c r="C271" s="2" t="s">
        <v>84</v>
      </c>
      <c r="D271" s="2" t="s">
        <v>403</v>
      </c>
      <c r="E271" s="2" t="s">
        <v>150</v>
      </c>
      <c r="F271" s="6" t="s">
        <v>63</v>
      </c>
    </row>
    <row r="272" spans="1:6" x14ac:dyDescent="0.2">
      <c r="A272" s="1">
        <v>2020</v>
      </c>
      <c r="B272" s="1">
        <v>25</v>
      </c>
      <c r="C272" s="2" t="s">
        <v>57</v>
      </c>
      <c r="D272" s="2" t="s">
        <v>404</v>
      </c>
      <c r="E272" s="2" t="s">
        <v>9</v>
      </c>
      <c r="F272" s="7" t="s">
        <v>21</v>
      </c>
    </row>
    <row r="273" spans="1:6" x14ac:dyDescent="0.2">
      <c r="A273" s="1">
        <v>2021</v>
      </c>
      <c r="B273" s="1">
        <v>25</v>
      </c>
      <c r="C273" s="2" t="s">
        <v>224</v>
      </c>
      <c r="D273" s="2" t="s">
        <v>405</v>
      </c>
      <c r="E273" s="2" t="s">
        <v>168</v>
      </c>
      <c r="F273" s="6" t="s">
        <v>63</v>
      </c>
    </row>
    <row r="274" spans="1:6" x14ac:dyDescent="0.2">
      <c r="A274" s="1">
        <v>2022</v>
      </c>
      <c r="B274" s="1">
        <v>25</v>
      </c>
      <c r="C274" s="2" t="s">
        <v>32</v>
      </c>
      <c r="D274" s="2" t="s">
        <v>406</v>
      </c>
      <c r="E274" s="2" t="s">
        <v>322</v>
      </c>
      <c r="F274" s="5" t="s">
        <v>17</v>
      </c>
    </row>
    <row r="275" spans="1:6" x14ac:dyDescent="0.2">
      <c r="A275" s="1">
        <v>2023</v>
      </c>
      <c r="B275" s="1">
        <v>25</v>
      </c>
      <c r="C275" s="2" t="s">
        <v>48</v>
      </c>
      <c r="D275" s="2" t="s">
        <v>407</v>
      </c>
      <c r="E275" s="2" t="s">
        <v>168</v>
      </c>
      <c r="F275" s="5" t="s">
        <v>17</v>
      </c>
    </row>
    <row r="276" spans="1:6" x14ac:dyDescent="0.2">
      <c r="A276" s="1">
        <v>2024</v>
      </c>
      <c r="B276" s="1">
        <v>25</v>
      </c>
      <c r="C276" s="2" t="s">
        <v>75</v>
      </c>
      <c r="D276" s="2" t="s">
        <v>408</v>
      </c>
      <c r="E276" s="2" t="s">
        <v>409</v>
      </c>
      <c r="F276" s="5" t="s">
        <v>17</v>
      </c>
    </row>
    <row r="277" spans="1:6" x14ac:dyDescent="0.2">
      <c r="A277" s="1">
        <v>2025</v>
      </c>
      <c r="B277" s="1">
        <v>25</v>
      </c>
      <c r="C277" s="2" t="s">
        <v>30</v>
      </c>
      <c r="D277" s="2" t="s">
        <v>410</v>
      </c>
      <c r="E277" s="2" t="s">
        <v>96</v>
      </c>
      <c r="F277" s="8" t="s">
        <v>37</v>
      </c>
    </row>
    <row r="278" spans="1:6" x14ac:dyDescent="0.2">
      <c r="A278" s="1">
        <v>2015</v>
      </c>
      <c r="B278" s="1">
        <v>26</v>
      </c>
      <c r="C278" s="2" t="s">
        <v>32</v>
      </c>
      <c r="D278" s="2" t="s">
        <v>411</v>
      </c>
      <c r="E278" s="2" t="s">
        <v>234</v>
      </c>
      <c r="F278" s="5" t="s">
        <v>17</v>
      </c>
    </row>
    <row r="279" spans="1:6" x14ac:dyDescent="0.2">
      <c r="A279" s="1">
        <v>2016</v>
      </c>
      <c r="B279" s="1">
        <v>26</v>
      </c>
      <c r="C279" s="2" t="s">
        <v>11</v>
      </c>
      <c r="D279" s="2" t="s">
        <v>412</v>
      </c>
      <c r="E279" s="2" t="s">
        <v>286</v>
      </c>
      <c r="F279" s="6" t="s">
        <v>63</v>
      </c>
    </row>
    <row r="280" spans="1:6" x14ac:dyDescent="0.2">
      <c r="A280" s="1">
        <v>2017</v>
      </c>
      <c r="B280" s="1">
        <v>26</v>
      </c>
      <c r="C280" s="2" t="s">
        <v>84</v>
      </c>
      <c r="D280" s="2" t="s">
        <v>413</v>
      </c>
      <c r="E280" s="2" t="s">
        <v>122</v>
      </c>
      <c r="F280" s="5" t="s">
        <v>17</v>
      </c>
    </row>
    <row r="281" spans="1:6" x14ac:dyDescent="0.2">
      <c r="A281" s="1">
        <v>2018</v>
      </c>
      <c r="B281" s="1">
        <v>26</v>
      </c>
      <c r="C281" s="2" t="s">
        <v>11</v>
      </c>
      <c r="D281" s="2" t="s">
        <v>414</v>
      </c>
      <c r="E281" s="2" t="s">
        <v>415</v>
      </c>
      <c r="F281" s="6" t="s">
        <v>63</v>
      </c>
    </row>
    <row r="282" spans="1:6" x14ac:dyDescent="0.2">
      <c r="A282" s="1">
        <v>2019</v>
      </c>
      <c r="B282" s="1">
        <v>26</v>
      </c>
      <c r="C282" s="2" t="s">
        <v>79</v>
      </c>
      <c r="D282" s="2" t="s">
        <v>416</v>
      </c>
      <c r="E282" s="2" t="s">
        <v>417</v>
      </c>
      <c r="F282" s="5" t="s">
        <v>17</v>
      </c>
    </row>
    <row r="283" spans="1:6" x14ac:dyDescent="0.2">
      <c r="A283" s="1">
        <v>2020</v>
      </c>
      <c r="B283" s="1">
        <v>26</v>
      </c>
      <c r="C283" s="2" t="s">
        <v>69</v>
      </c>
      <c r="D283" s="2" t="s">
        <v>418</v>
      </c>
      <c r="E283" s="2" t="s">
        <v>246</v>
      </c>
      <c r="F283" s="7" t="s">
        <v>21</v>
      </c>
    </row>
    <row r="284" spans="1:6" x14ac:dyDescent="0.2">
      <c r="A284" s="1">
        <v>2021</v>
      </c>
      <c r="B284" s="1">
        <v>26</v>
      </c>
      <c r="C284" s="2" t="s">
        <v>143</v>
      </c>
      <c r="D284" s="2" t="s">
        <v>419</v>
      </c>
      <c r="E284" s="2" t="s">
        <v>420</v>
      </c>
      <c r="F284" s="6" t="s">
        <v>63</v>
      </c>
    </row>
    <row r="285" spans="1:6" x14ac:dyDescent="0.2">
      <c r="A285" s="1">
        <v>2022</v>
      </c>
      <c r="B285" s="1">
        <v>26</v>
      </c>
      <c r="C285" s="2" t="s">
        <v>38</v>
      </c>
      <c r="D285" s="2" t="s">
        <v>421</v>
      </c>
      <c r="E285" s="2" t="s">
        <v>24</v>
      </c>
      <c r="F285" s="5" t="s">
        <v>17</v>
      </c>
    </row>
    <row r="286" spans="1:6" x14ac:dyDescent="0.2">
      <c r="A286" s="1">
        <v>2023</v>
      </c>
      <c r="B286" s="1">
        <v>26</v>
      </c>
      <c r="C286" s="2" t="s">
        <v>137</v>
      </c>
      <c r="D286" s="2" t="s">
        <v>422</v>
      </c>
      <c r="E286" s="2" t="s">
        <v>417</v>
      </c>
      <c r="F286" s="6" t="s">
        <v>63</v>
      </c>
    </row>
    <row r="287" spans="1:6" x14ac:dyDescent="0.2">
      <c r="A287" s="1">
        <v>2024</v>
      </c>
      <c r="B287" s="1">
        <v>26</v>
      </c>
      <c r="C287" s="2" t="s">
        <v>64</v>
      </c>
      <c r="D287" s="2" t="s">
        <v>423</v>
      </c>
      <c r="E287" s="2" t="s">
        <v>424</v>
      </c>
      <c r="F287" s="5" t="s">
        <v>17</v>
      </c>
    </row>
    <row r="288" spans="1:6" x14ac:dyDescent="0.2">
      <c r="A288" s="1">
        <v>2025</v>
      </c>
      <c r="B288" s="1">
        <v>26</v>
      </c>
      <c r="C288" s="2" t="s">
        <v>170</v>
      </c>
      <c r="D288" s="2" t="s">
        <v>425</v>
      </c>
      <c r="E288" s="2" t="s">
        <v>182</v>
      </c>
      <c r="F288" s="8" t="s">
        <v>37</v>
      </c>
    </row>
    <row r="289" spans="1:6" x14ac:dyDescent="0.2">
      <c r="A289" s="1">
        <v>2015</v>
      </c>
      <c r="B289" s="1">
        <v>27</v>
      </c>
      <c r="C289" s="2" t="s">
        <v>40</v>
      </c>
      <c r="D289" s="2" t="s">
        <v>426</v>
      </c>
      <c r="E289" s="2" t="s">
        <v>427</v>
      </c>
      <c r="F289" s="7" t="s">
        <v>21</v>
      </c>
    </row>
    <row r="290" spans="1:6" x14ac:dyDescent="0.2">
      <c r="A290" s="1">
        <v>2016</v>
      </c>
      <c r="B290" s="1">
        <v>27</v>
      </c>
      <c r="C290" s="2" t="s">
        <v>102</v>
      </c>
      <c r="D290" s="2" t="s">
        <v>428</v>
      </c>
      <c r="E290" s="2" t="s">
        <v>429</v>
      </c>
      <c r="F290" s="4" t="s">
        <v>14</v>
      </c>
    </row>
    <row r="291" spans="1:6" x14ac:dyDescent="0.2">
      <c r="A291" s="1">
        <v>2017</v>
      </c>
      <c r="B291" s="1">
        <v>27</v>
      </c>
      <c r="C291" s="2" t="s">
        <v>170</v>
      </c>
      <c r="D291" s="2" t="s">
        <v>430</v>
      </c>
      <c r="E291" s="2" t="s">
        <v>176</v>
      </c>
      <c r="F291" s="7" t="s">
        <v>21</v>
      </c>
    </row>
    <row r="292" spans="1:6" x14ac:dyDescent="0.2">
      <c r="A292" s="1">
        <v>2018</v>
      </c>
      <c r="B292" s="1">
        <v>27</v>
      </c>
      <c r="C292" s="2" t="s">
        <v>69</v>
      </c>
      <c r="D292" s="2" t="s">
        <v>431</v>
      </c>
      <c r="E292" s="2" t="s">
        <v>432</v>
      </c>
      <c r="F292" s="7" t="s">
        <v>21</v>
      </c>
    </row>
    <row r="293" spans="1:6" x14ac:dyDescent="0.2">
      <c r="A293" s="1">
        <v>2019</v>
      </c>
      <c r="B293" s="1">
        <v>27</v>
      </c>
      <c r="C293" s="2" t="s">
        <v>170</v>
      </c>
      <c r="D293" s="2" t="s">
        <v>433</v>
      </c>
      <c r="E293" s="2" t="s">
        <v>101</v>
      </c>
      <c r="F293" s="5" t="s">
        <v>17</v>
      </c>
    </row>
    <row r="294" spans="1:6" x14ac:dyDescent="0.2">
      <c r="A294" s="1">
        <v>2020</v>
      </c>
      <c r="B294" s="1">
        <v>27</v>
      </c>
      <c r="C294" s="2" t="s">
        <v>125</v>
      </c>
      <c r="D294" s="2" t="s">
        <v>434</v>
      </c>
      <c r="E294" s="2" t="s">
        <v>94</v>
      </c>
      <c r="F294" s="5" t="s">
        <v>17</v>
      </c>
    </row>
    <row r="295" spans="1:6" x14ac:dyDescent="0.2">
      <c r="A295" s="1">
        <v>2021</v>
      </c>
      <c r="B295" s="1">
        <v>27</v>
      </c>
      <c r="C295" s="2" t="s">
        <v>170</v>
      </c>
      <c r="D295" s="2" t="s">
        <v>435</v>
      </c>
      <c r="E295" s="2" t="s">
        <v>13</v>
      </c>
      <c r="F295" s="6" t="s">
        <v>63</v>
      </c>
    </row>
    <row r="296" spans="1:6" x14ac:dyDescent="0.2">
      <c r="A296" s="1">
        <v>2022</v>
      </c>
      <c r="B296" s="1">
        <v>27</v>
      </c>
      <c r="C296" s="2" t="s">
        <v>190</v>
      </c>
      <c r="D296" s="2" t="s">
        <v>436</v>
      </c>
      <c r="E296" s="2" t="s">
        <v>234</v>
      </c>
      <c r="F296" s="6" t="s">
        <v>63</v>
      </c>
    </row>
    <row r="297" spans="1:6" x14ac:dyDescent="0.2">
      <c r="A297" s="1">
        <v>2023</v>
      </c>
      <c r="B297" s="1">
        <v>27</v>
      </c>
      <c r="C297" s="2" t="s">
        <v>60</v>
      </c>
      <c r="D297" s="2" t="s">
        <v>437</v>
      </c>
      <c r="E297" s="2" t="s">
        <v>140</v>
      </c>
      <c r="F297" s="5" t="s">
        <v>17</v>
      </c>
    </row>
    <row r="298" spans="1:6" x14ac:dyDescent="0.2">
      <c r="A298" s="1">
        <v>2024</v>
      </c>
      <c r="B298" s="1">
        <v>27</v>
      </c>
      <c r="C298" s="2" t="s">
        <v>7</v>
      </c>
      <c r="D298" s="2" t="s">
        <v>438</v>
      </c>
      <c r="E298" s="2" t="s">
        <v>346</v>
      </c>
      <c r="F298" s="8" t="s">
        <v>37</v>
      </c>
    </row>
    <row r="299" spans="1:6" x14ac:dyDescent="0.2">
      <c r="A299" s="1">
        <v>2025</v>
      </c>
      <c r="B299" s="1">
        <v>27</v>
      </c>
      <c r="C299" s="2" t="s">
        <v>170</v>
      </c>
      <c r="D299" s="2" t="s">
        <v>439</v>
      </c>
      <c r="E299" s="2" t="s">
        <v>165</v>
      </c>
      <c r="F299" s="8" t="s">
        <v>37</v>
      </c>
    </row>
    <row r="300" spans="1:6" x14ac:dyDescent="0.2">
      <c r="A300" s="1">
        <v>2015</v>
      </c>
      <c r="B300" s="1">
        <v>28</v>
      </c>
      <c r="C300" s="2" t="s">
        <v>69</v>
      </c>
      <c r="D300" s="2" t="s">
        <v>440</v>
      </c>
      <c r="E300" s="2" t="s">
        <v>441</v>
      </c>
      <c r="F300" s="5" t="s">
        <v>17</v>
      </c>
    </row>
    <row r="301" spans="1:6" x14ac:dyDescent="0.2">
      <c r="A301" s="1">
        <v>2016</v>
      </c>
      <c r="B301" s="1">
        <v>28</v>
      </c>
      <c r="C301" s="2" t="s">
        <v>18</v>
      </c>
      <c r="D301" s="2" t="s">
        <v>442</v>
      </c>
      <c r="E301" s="2" t="s">
        <v>9</v>
      </c>
      <c r="F301" s="5" t="s">
        <v>17</v>
      </c>
    </row>
    <row r="302" spans="1:6" x14ac:dyDescent="0.2">
      <c r="A302" s="1">
        <v>2017</v>
      </c>
      <c r="B302" s="1">
        <v>28</v>
      </c>
      <c r="C302" s="2" t="s">
        <v>40</v>
      </c>
      <c r="D302" s="2" t="s">
        <v>443</v>
      </c>
      <c r="E302" s="2" t="s">
        <v>150</v>
      </c>
      <c r="F302" s="6" t="s">
        <v>63</v>
      </c>
    </row>
    <row r="303" spans="1:6" x14ac:dyDescent="0.2">
      <c r="A303" s="1">
        <v>2018</v>
      </c>
      <c r="B303" s="1">
        <v>28</v>
      </c>
      <c r="C303" s="2" t="s">
        <v>51</v>
      </c>
      <c r="D303" s="2" t="s">
        <v>444</v>
      </c>
      <c r="E303" s="2" t="s">
        <v>445</v>
      </c>
      <c r="F303" s="5" t="s">
        <v>17</v>
      </c>
    </row>
    <row r="304" spans="1:6" x14ac:dyDescent="0.2">
      <c r="A304" s="1">
        <v>2019</v>
      </c>
      <c r="B304" s="1">
        <v>28</v>
      </c>
      <c r="C304" s="2" t="s">
        <v>51</v>
      </c>
      <c r="D304" s="2" t="s">
        <v>446</v>
      </c>
      <c r="E304" s="2" t="s">
        <v>165</v>
      </c>
      <c r="F304" s="7" t="s">
        <v>21</v>
      </c>
    </row>
    <row r="305" spans="1:6" x14ac:dyDescent="0.2">
      <c r="A305" s="1">
        <v>2020</v>
      </c>
      <c r="B305" s="1">
        <v>28</v>
      </c>
      <c r="C305" s="2" t="s">
        <v>40</v>
      </c>
      <c r="D305" s="2" t="s">
        <v>447</v>
      </c>
      <c r="E305" s="2" t="s">
        <v>16</v>
      </c>
      <c r="F305" s="7" t="s">
        <v>21</v>
      </c>
    </row>
    <row r="306" spans="1:6" x14ac:dyDescent="0.2">
      <c r="A306" s="1">
        <v>2021</v>
      </c>
      <c r="B306" s="1">
        <v>28</v>
      </c>
      <c r="C306" s="2" t="s">
        <v>11</v>
      </c>
      <c r="D306" s="2" t="s">
        <v>448</v>
      </c>
      <c r="E306" s="2" t="s">
        <v>304</v>
      </c>
      <c r="F306" s="5" t="s">
        <v>17</v>
      </c>
    </row>
    <row r="307" spans="1:6" x14ac:dyDescent="0.2">
      <c r="A307" s="1">
        <v>2022</v>
      </c>
      <c r="B307" s="1">
        <v>28</v>
      </c>
      <c r="C307" s="2" t="s">
        <v>51</v>
      </c>
      <c r="D307" s="2" t="s">
        <v>449</v>
      </c>
      <c r="E307" s="2" t="s">
        <v>450</v>
      </c>
      <c r="F307" s="5" t="s">
        <v>17</v>
      </c>
    </row>
    <row r="308" spans="1:6" x14ac:dyDescent="0.2">
      <c r="A308" s="1">
        <v>2023</v>
      </c>
      <c r="B308" s="1">
        <v>28</v>
      </c>
      <c r="C308" s="2" t="s">
        <v>125</v>
      </c>
      <c r="D308" s="2" t="s">
        <v>451</v>
      </c>
      <c r="E308" s="2" t="s">
        <v>42</v>
      </c>
      <c r="F308" s="5" t="s">
        <v>17</v>
      </c>
    </row>
    <row r="309" spans="1:6" x14ac:dyDescent="0.2">
      <c r="A309" s="1">
        <v>2024</v>
      </c>
      <c r="B309" s="1">
        <v>28</v>
      </c>
      <c r="C309" s="2" t="s">
        <v>143</v>
      </c>
      <c r="D309" s="2" t="s">
        <v>452</v>
      </c>
      <c r="E309" s="2" t="s">
        <v>98</v>
      </c>
      <c r="F309" s="8" t="s">
        <v>37</v>
      </c>
    </row>
    <row r="310" spans="1:6" x14ac:dyDescent="0.2">
      <c r="A310" s="1">
        <v>2025</v>
      </c>
      <c r="B310" s="1">
        <v>28</v>
      </c>
      <c r="C310" s="2" t="s">
        <v>69</v>
      </c>
      <c r="D310" s="2" t="s">
        <v>453</v>
      </c>
      <c r="E310" s="2" t="s">
        <v>267</v>
      </c>
      <c r="F310" s="8" t="s">
        <v>37</v>
      </c>
    </row>
    <row r="311" spans="1:6" x14ac:dyDescent="0.2">
      <c r="A311" s="1">
        <v>2015</v>
      </c>
      <c r="B311" s="1">
        <v>29</v>
      </c>
      <c r="C311" s="2" t="s">
        <v>170</v>
      </c>
      <c r="D311" s="2" t="s">
        <v>454</v>
      </c>
      <c r="E311" s="2" t="s">
        <v>361</v>
      </c>
      <c r="F311" s="5" t="s">
        <v>17</v>
      </c>
    </row>
    <row r="312" spans="1:6" x14ac:dyDescent="0.2">
      <c r="A312" s="1">
        <v>2016</v>
      </c>
      <c r="B312" s="1">
        <v>29</v>
      </c>
      <c r="C312" s="2" t="s">
        <v>32</v>
      </c>
      <c r="D312" s="2" t="s">
        <v>455</v>
      </c>
      <c r="E312" s="2" t="s">
        <v>16</v>
      </c>
      <c r="F312" s="4" t="s">
        <v>14</v>
      </c>
    </row>
    <row r="313" spans="1:6" x14ac:dyDescent="0.2">
      <c r="A313" s="1">
        <v>2017</v>
      </c>
      <c r="B313" s="1">
        <v>29</v>
      </c>
      <c r="C313" s="2" t="s">
        <v>32</v>
      </c>
      <c r="D313" s="2" t="s">
        <v>456</v>
      </c>
      <c r="E313" s="2" t="s">
        <v>206</v>
      </c>
      <c r="F313" s="4" t="s">
        <v>14</v>
      </c>
    </row>
    <row r="314" spans="1:6" x14ac:dyDescent="0.2">
      <c r="A314" s="1">
        <v>2018</v>
      </c>
      <c r="B314" s="1">
        <v>29</v>
      </c>
      <c r="C314" s="2" t="s">
        <v>170</v>
      </c>
      <c r="D314" s="2" t="s">
        <v>457</v>
      </c>
      <c r="E314" s="2" t="s">
        <v>458</v>
      </c>
      <c r="F314" s="5" t="s">
        <v>17</v>
      </c>
    </row>
    <row r="315" spans="1:6" x14ac:dyDescent="0.2">
      <c r="A315" s="1">
        <v>2019</v>
      </c>
      <c r="B315" s="1">
        <v>29</v>
      </c>
      <c r="C315" s="2" t="s">
        <v>32</v>
      </c>
      <c r="D315" s="2" t="s">
        <v>459</v>
      </c>
      <c r="E315" s="2" t="s">
        <v>9</v>
      </c>
      <c r="F315" s="7" t="s">
        <v>21</v>
      </c>
    </row>
    <row r="316" spans="1:6" x14ac:dyDescent="0.2">
      <c r="A316" s="1">
        <v>2020</v>
      </c>
      <c r="B316" s="1">
        <v>29</v>
      </c>
      <c r="C316" s="2" t="s">
        <v>102</v>
      </c>
      <c r="D316" s="2" t="s">
        <v>460</v>
      </c>
      <c r="E316" s="2" t="s">
        <v>461</v>
      </c>
      <c r="F316" s="5" t="s">
        <v>17</v>
      </c>
    </row>
    <row r="317" spans="1:6" x14ac:dyDescent="0.2">
      <c r="A317" s="1">
        <v>2021</v>
      </c>
      <c r="B317" s="1">
        <v>29</v>
      </c>
      <c r="C317" s="2" t="s">
        <v>18</v>
      </c>
      <c r="D317" s="2" t="s">
        <v>462</v>
      </c>
      <c r="E317" s="2" t="s">
        <v>150</v>
      </c>
      <c r="F317" s="6" t="s">
        <v>63</v>
      </c>
    </row>
    <row r="318" spans="1:6" x14ac:dyDescent="0.2">
      <c r="A318" s="1">
        <v>2022</v>
      </c>
      <c r="B318" s="1">
        <v>29</v>
      </c>
      <c r="C318" s="2" t="s">
        <v>48</v>
      </c>
      <c r="D318" s="2" t="s">
        <v>463</v>
      </c>
      <c r="E318" s="2" t="s">
        <v>9</v>
      </c>
      <c r="F318" s="5" t="s">
        <v>17</v>
      </c>
    </row>
    <row r="319" spans="1:6" x14ac:dyDescent="0.2">
      <c r="A319" s="1">
        <v>2023</v>
      </c>
      <c r="B319" s="1">
        <v>29</v>
      </c>
      <c r="C319" s="2" t="s">
        <v>137</v>
      </c>
      <c r="D319" s="2" t="s">
        <v>464</v>
      </c>
      <c r="E319" s="2" t="s">
        <v>59</v>
      </c>
      <c r="F319" s="6" t="s">
        <v>63</v>
      </c>
    </row>
    <row r="320" spans="1:6" x14ac:dyDescent="0.2">
      <c r="A320" s="1">
        <v>2024</v>
      </c>
      <c r="B320" s="1">
        <v>29</v>
      </c>
      <c r="C320" s="2" t="s">
        <v>125</v>
      </c>
      <c r="D320" s="2" t="s">
        <v>465</v>
      </c>
      <c r="E320" s="2" t="s">
        <v>81</v>
      </c>
      <c r="F320" s="8" t="s">
        <v>37</v>
      </c>
    </row>
    <row r="321" spans="1:6" x14ac:dyDescent="0.2">
      <c r="A321" s="1">
        <v>2025</v>
      </c>
      <c r="B321" s="1">
        <v>29</v>
      </c>
      <c r="C321" s="2" t="s">
        <v>18</v>
      </c>
      <c r="D321" s="2" t="s">
        <v>466</v>
      </c>
      <c r="E321" s="2" t="s">
        <v>109</v>
      </c>
      <c r="F321" s="8" t="s">
        <v>37</v>
      </c>
    </row>
    <row r="322" spans="1:6" x14ac:dyDescent="0.2">
      <c r="A322" s="1">
        <v>2015</v>
      </c>
      <c r="B322" s="1">
        <v>30</v>
      </c>
      <c r="C322" s="2" t="s">
        <v>51</v>
      </c>
      <c r="D322" s="2" t="s">
        <v>467</v>
      </c>
      <c r="E322" s="2" t="s">
        <v>45</v>
      </c>
      <c r="F322" s="6" t="s">
        <v>63</v>
      </c>
    </row>
    <row r="323" spans="1:6" x14ac:dyDescent="0.2">
      <c r="A323" s="1">
        <v>2016</v>
      </c>
      <c r="B323" s="1">
        <v>30</v>
      </c>
      <c r="C323" s="2" t="s">
        <v>51</v>
      </c>
      <c r="D323" s="2" t="s">
        <v>468</v>
      </c>
      <c r="E323" s="2" t="s">
        <v>118</v>
      </c>
      <c r="F323" s="6" t="s">
        <v>63</v>
      </c>
    </row>
    <row r="324" spans="1:6" x14ac:dyDescent="0.2">
      <c r="A324" s="1">
        <v>2017</v>
      </c>
      <c r="B324" s="1">
        <v>30</v>
      </c>
      <c r="C324" s="2" t="s">
        <v>125</v>
      </c>
      <c r="D324" s="2" t="s">
        <v>469</v>
      </c>
      <c r="E324" s="2" t="s">
        <v>197</v>
      </c>
      <c r="F324" s="7" t="s">
        <v>21</v>
      </c>
    </row>
    <row r="325" spans="1:6" x14ac:dyDescent="0.2">
      <c r="A325" s="1">
        <v>2018</v>
      </c>
      <c r="B325" s="1">
        <v>30</v>
      </c>
      <c r="C325" s="2" t="s">
        <v>35</v>
      </c>
      <c r="D325" s="2" t="s">
        <v>470</v>
      </c>
      <c r="E325" s="2" t="s">
        <v>197</v>
      </c>
      <c r="F325" s="5" t="s">
        <v>17</v>
      </c>
    </row>
    <row r="326" spans="1:6" x14ac:dyDescent="0.2">
      <c r="A326" s="1">
        <v>2019</v>
      </c>
      <c r="B326" s="1">
        <v>30</v>
      </c>
      <c r="C326" s="2" t="s">
        <v>192</v>
      </c>
      <c r="D326" s="2" t="s">
        <v>471</v>
      </c>
      <c r="E326" s="2" t="s">
        <v>81</v>
      </c>
      <c r="F326" s="5" t="s">
        <v>17</v>
      </c>
    </row>
    <row r="327" spans="1:6" x14ac:dyDescent="0.2">
      <c r="A327" s="1">
        <v>2020</v>
      </c>
      <c r="B327" s="1">
        <v>30</v>
      </c>
      <c r="C327" s="2" t="s">
        <v>69</v>
      </c>
      <c r="D327" s="2" t="s">
        <v>472</v>
      </c>
      <c r="E327" s="2" t="s">
        <v>473</v>
      </c>
      <c r="F327" s="4" t="s">
        <v>14</v>
      </c>
    </row>
    <row r="328" spans="1:6" x14ac:dyDescent="0.2">
      <c r="A328" s="1">
        <v>2021</v>
      </c>
      <c r="B328" s="1">
        <v>30</v>
      </c>
      <c r="C328" s="2" t="s">
        <v>125</v>
      </c>
      <c r="D328" s="2" t="s">
        <v>474</v>
      </c>
      <c r="E328" s="2" t="s">
        <v>475</v>
      </c>
      <c r="F328" s="6" t="s">
        <v>63</v>
      </c>
    </row>
    <row r="329" spans="1:6" x14ac:dyDescent="0.2">
      <c r="A329" s="1">
        <v>2022</v>
      </c>
      <c r="B329" s="1">
        <v>30</v>
      </c>
      <c r="C329" s="2" t="s">
        <v>57</v>
      </c>
      <c r="D329" s="2" t="s">
        <v>476</v>
      </c>
      <c r="E329" s="2" t="s">
        <v>45</v>
      </c>
      <c r="F329" s="7" t="s">
        <v>21</v>
      </c>
    </row>
    <row r="330" spans="1:6" x14ac:dyDescent="0.2">
      <c r="A330" s="1">
        <v>2023</v>
      </c>
      <c r="B330" s="1">
        <v>30</v>
      </c>
      <c r="C330" s="2" t="s">
        <v>224</v>
      </c>
      <c r="D330" s="2" t="s">
        <v>477</v>
      </c>
      <c r="E330" s="2" t="s">
        <v>255</v>
      </c>
      <c r="F330" s="6" t="s">
        <v>63</v>
      </c>
    </row>
    <row r="331" spans="1:6" x14ac:dyDescent="0.2">
      <c r="A331" s="1">
        <v>2024</v>
      </c>
      <c r="B331" s="1">
        <v>30</v>
      </c>
      <c r="C331" s="2" t="s">
        <v>69</v>
      </c>
      <c r="D331" s="2" t="s">
        <v>478</v>
      </c>
      <c r="E331" s="2" t="s">
        <v>281</v>
      </c>
      <c r="F331" s="8" t="s">
        <v>37</v>
      </c>
    </row>
    <row r="332" spans="1:6" x14ac:dyDescent="0.2">
      <c r="A332" s="1">
        <v>2025</v>
      </c>
      <c r="B332" s="1">
        <v>30</v>
      </c>
      <c r="C332" s="2" t="s">
        <v>224</v>
      </c>
      <c r="D332" s="2" t="s">
        <v>479</v>
      </c>
      <c r="E332" s="2" t="s">
        <v>480</v>
      </c>
      <c r="F332" s="8" t="s">
        <v>37</v>
      </c>
    </row>
  </sheetData>
  <sortState xmlns:xlrd2="http://schemas.microsoft.com/office/spreadsheetml/2017/richdata2" ref="A3:F332">
    <sortCondition ref="B3:B332"/>
  </sortState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="150" workbookViewId="0">
      <selection activeCell="B13" sqref="B13"/>
    </sheetView>
  </sheetViews>
  <sheetFormatPr baseColWidth="10" defaultColWidth="8.83203125" defaultRowHeight="15" x14ac:dyDescent="0.2"/>
  <cols>
    <col min="1" max="1" width="8" customWidth="1"/>
    <col min="2" max="2" width="26" customWidth="1"/>
    <col min="3" max="3" width="60" customWidth="1"/>
  </cols>
  <sheetData>
    <row r="1" spans="1:3" x14ac:dyDescent="0.2">
      <c r="A1" s="9" t="s">
        <v>481</v>
      </c>
      <c r="B1" s="9" t="s">
        <v>482</v>
      </c>
      <c r="C1" s="9" t="s">
        <v>483</v>
      </c>
    </row>
    <row r="2" spans="1:3" x14ac:dyDescent="0.2">
      <c r="A2" s="10" t="s">
        <v>484</v>
      </c>
      <c r="B2" s="16" t="s">
        <v>485</v>
      </c>
      <c r="C2" s="11" t="s">
        <v>486</v>
      </c>
    </row>
    <row r="3" spans="1:3" x14ac:dyDescent="0.2">
      <c r="A3" s="10" t="s">
        <v>487</v>
      </c>
      <c r="B3" s="17" t="s">
        <v>488</v>
      </c>
      <c r="C3" s="11" t="s">
        <v>489</v>
      </c>
    </row>
    <row r="4" spans="1:3" x14ac:dyDescent="0.2">
      <c r="A4" s="10" t="s">
        <v>490</v>
      </c>
      <c r="B4" s="12" t="s">
        <v>491</v>
      </c>
      <c r="C4" s="11" t="s">
        <v>492</v>
      </c>
    </row>
    <row r="5" spans="1:3" x14ac:dyDescent="0.2">
      <c r="A5" s="10" t="s">
        <v>493</v>
      </c>
      <c r="B5" s="18" t="s">
        <v>494</v>
      </c>
      <c r="C5" s="11" t="s">
        <v>495</v>
      </c>
    </row>
    <row r="6" spans="1:3" x14ac:dyDescent="0.2">
      <c r="A6" s="10" t="s">
        <v>496</v>
      </c>
      <c r="B6" s="19" t="s">
        <v>497</v>
      </c>
      <c r="C6" s="11" t="s">
        <v>498</v>
      </c>
    </row>
    <row r="7" spans="1:3" x14ac:dyDescent="0.2">
      <c r="A7" s="10" t="s">
        <v>499</v>
      </c>
      <c r="B7" s="13" t="s">
        <v>500</v>
      </c>
      <c r="C7" s="11" t="s">
        <v>501</v>
      </c>
    </row>
    <row r="9" spans="1:3" ht="45" customHeight="1" x14ac:dyDescent="0.2">
      <c r="A9" s="22" t="s">
        <v>502</v>
      </c>
      <c r="B9" s="23"/>
      <c r="C9" s="23"/>
    </row>
  </sheetData>
  <mergeCells count="1"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28F2-7F4F-8C4A-A3BE-14415B55DBE4}">
  <dimension ref="A1:V332"/>
  <sheetViews>
    <sheetView topLeftCell="E1" zoomScaleNormal="100" workbookViewId="0">
      <pane ySplit="2" topLeftCell="A3" activePane="bottomLeft" state="frozen"/>
      <selection pane="bottomLeft" activeCell="M10" sqref="M10"/>
    </sheetView>
  </sheetViews>
  <sheetFormatPr baseColWidth="10" defaultColWidth="8.83203125" defaultRowHeight="15" x14ac:dyDescent="0.2"/>
  <cols>
    <col min="1" max="7" width="25" customWidth="1"/>
    <col min="9" max="22" width="14.1640625" customWidth="1"/>
  </cols>
  <sheetData>
    <row r="1" spans="1:22" ht="25" customHeight="1" x14ac:dyDescent="0.3">
      <c r="A1" s="27" t="s">
        <v>0</v>
      </c>
      <c r="B1" s="28"/>
      <c r="C1" s="28"/>
      <c r="D1" s="28"/>
      <c r="E1" s="28"/>
      <c r="F1" s="28"/>
      <c r="G1" s="28"/>
      <c r="I1" s="29" t="s">
        <v>503</v>
      </c>
      <c r="J1" s="29"/>
      <c r="K1" s="30" t="s">
        <v>504</v>
      </c>
      <c r="L1" s="30"/>
      <c r="M1" s="31" t="s">
        <v>505</v>
      </c>
      <c r="N1" s="31"/>
      <c r="O1" s="32" t="s">
        <v>506</v>
      </c>
      <c r="P1" s="32"/>
      <c r="Q1" s="24" t="s">
        <v>507</v>
      </c>
      <c r="R1" s="24"/>
      <c r="S1" s="25" t="s">
        <v>508</v>
      </c>
      <c r="T1" s="25"/>
      <c r="U1" s="26" t="s">
        <v>509</v>
      </c>
      <c r="V1" s="26"/>
    </row>
    <row r="2" spans="1:22" ht="28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510</v>
      </c>
      <c r="I2" s="29"/>
      <c r="J2" s="29"/>
      <c r="K2" s="30"/>
      <c r="L2" s="30"/>
      <c r="M2" s="31"/>
      <c r="N2" s="31"/>
      <c r="O2" s="32"/>
      <c r="P2" s="32"/>
      <c r="Q2" s="24"/>
      <c r="R2" s="24"/>
      <c r="S2" s="25"/>
      <c r="T2" s="25"/>
      <c r="U2" s="26"/>
      <c r="V2" s="26"/>
    </row>
    <row r="3" spans="1:22" x14ac:dyDescent="0.2">
      <c r="A3" s="1">
        <v>2015</v>
      </c>
      <c r="B3" s="1">
        <v>1</v>
      </c>
      <c r="C3" s="2" t="s">
        <v>7</v>
      </c>
      <c r="D3" s="2" t="s">
        <v>8</v>
      </c>
      <c r="E3" s="2" t="s">
        <v>9</v>
      </c>
      <c r="F3" s="3" t="s">
        <v>10</v>
      </c>
      <c r="G3" cm="1">
        <f t="array" ref="G3">_xlfn.SWITCH(F3,"🟩 Superstar",5,"🟦 Star / All-Star",4,"🟨 Above-average starter",3,"⬛ Contributor / role player",2,"🟥 Bust",1,"⏳ Too early to tell","")</f>
        <v>5</v>
      </c>
      <c r="I3" t="s">
        <v>511</v>
      </c>
      <c r="J3">
        <f>COUNT(G3:G332)</f>
        <v>274</v>
      </c>
      <c r="K3" t="s">
        <v>511</v>
      </c>
      <c r="L3">
        <f>COUNT(G3:G57)</f>
        <v>45</v>
      </c>
      <c r="M3" t="s">
        <v>511</v>
      </c>
      <c r="N3">
        <f>COUNT(G58:G112)</f>
        <v>45</v>
      </c>
      <c r="O3" t="s">
        <v>511</v>
      </c>
      <c r="P3">
        <f>COUNT(G113:G167)</f>
        <v>45</v>
      </c>
      <c r="Q3" t="s">
        <v>511</v>
      </c>
      <c r="R3">
        <f>COUNT(G168:G222)</f>
        <v>47</v>
      </c>
      <c r="S3" t="s">
        <v>511</v>
      </c>
      <c r="T3">
        <f>COUNT(G223:G277)</f>
        <v>46</v>
      </c>
      <c r="U3" t="s">
        <v>511</v>
      </c>
      <c r="V3">
        <f>COUNT(G278:G332)</f>
        <v>46</v>
      </c>
    </row>
    <row r="4" spans="1:22" x14ac:dyDescent="0.2">
      <c r="A4" s="1">
        <v>2016</v>
      </c>
      <c r="B4" s="1">
        <v>1</v>
      </c>
      <c r="C4" s="2" t="s">
        <v>11</v>
      </c>
      <c r="D4" s="2" t="s">
        <v>12</v>
      </c>
      <c r="E4" s="2" t="s">
        <v>13</v>
      </c>
      <c r="F4" s="4" t="s">
        <v>14</v>
      </c>
      <c r="G4" cm="1">
        <f t="array" ref="G4">_xlfn.SWITCH(F4,"🟩 Superstar",5,"🟦 Star / All-Star",4,"🟨 Above-average starter",3,"⬛ Contributor / role player",2,"🟥 Bust",1,"⏳ Too early to tell","")</f>
        <v>4</v>
      </c>
      <c r="I4" t="s">
        <v>512</v>
      </c>
      <c r="J4" cm="1">
        <f t="array" ref="J4">AVERAGE(IF(ISNUMBER(G3:G332),G3:G332))</f>
        <v>2.2518248175182483</v>
      </c>
      <c r="K4" t="s">
        <v>512</v>
      </c>
      <c r="L4" cm="1">
        <f t="array" ref="L4">AVERAGE(IF(ISNUMBER(G3:G57),G3:G57))</f>
        <v>3.2444444444444445</v>
      </c>
      <c r="M4" t="s">
        <v>512</v>
      </c>
      <c r="N4" cm="1">
        <f t="array" ref="N4">AVERAGE(IF(ISNUMBER(G58:G112),G58:G112))</f>
        <v>2.2000000000000002</v>
      </c>
      <c r="O4" t="s">
        <v>512</v>
      </c>
      <c r="P4" cm="1">
        <f t="array" ref="P4">AVERAGE(IF(ISNUMBER(G113:G167),G113:G167))</f>
        <v>2.3777777777777778</v>
      </c>
      <c r="Q4" t="s">
        <v>512</v>
      </c>
      <c r="R4" cm="1">
        <f t="array" ref="R4">AVERAGE(IF(ISNUMBER(G168:G222),G168:G222))</f>
        <v>1.9787234042553192</v>
      </c>
      <c r="S4" t="s">
        <v>512</v>
      </c>
      <c r="T4" cm="1">
        <f t="array" ref="T4">AVERAGE(IF(ISNUMBER(G223:G277),G223:G277))</f>
        <v>1.8043478260869565</v>
      </c>
      <c r="U4" t="s">
        <v>512</v>
      </c>
      <c r="V4" cm="1">
        <f t="array" ref="V4">AVERAGE(IF(ISNUMBER(G278:G332),G278:G332))</f>
        <v>1.9347826086956521</v>
      </c>
    </row>
    <row r="5" spans="1:22" x14ac:dyDescent="0.2">
      <c r="A5" s="1">
        <v>2017</v>
      </c>
      <c r="B5" s="1">
        <v>1</v>
      </c>
      <c r="C5" s="2" t="s">
        <v>11</v>
      </c>
      <c r="D5" s="2" t="s">
        <v>15</v>
      </c>
      <c r="E5" s="2" t="s">
        <v>16</v>
      </c>
      <c r="F5" s="5" t="s">
        <v>17</v>
      </c>
      <c r="G5" cm="1">
        <f t="array" ref="G5">_xlfn.SWITCH(F5,"🟩 Superstar",5,"🟦 Star / All-Star",4,"🟨 Above-average starter",3,"⬛ Contributor / role player",2,"🟥 Bust",1,"⏳ Too early to tell","")</f>
        <v>1</v>
      </c>
      <c r="I5" t="s">
        <v>513</v>
      </c>
      <c r="J5" cm="1">
        <f t="array" ref="J5">MEDIAN(IF(ISNUMBER(G3:G332),G3:G332))</f>
        <v>2</v>
      </c>
      <c r="K5" t="s">
        <v>513</v>
      </c>
      <c r="L5" cm="1">
        <f t="array" ref="L5">MEDIAN(IF(ISNUMBER(G3:G57),G3:G57))</f>
        <v>4</v>
      </c>
      <c r="M5" t="s">
        <v>513</v>
      </c>
      <c r="N5" cm="1">
        <f t="array" ref="N5">MEDIAN(IF(ISNUMBER(G58:G112),G58:G112))</f>
        <v>2</v>
      </c>
      <c r="O5" t="s">
        <v>513</v>
      </c>
      <c r="P5" cm="1">
        <f t="array" ref="P5">MEDIAN(IF(ISNUMBER(G113:G167),G113:G167))</f>
        <v>2</v>
      </c>
      <c r="Q5" t="s">
        <v>513</v>
      </c>
      <c r="R5" cm="1">
        <f t="array" ref="R5">MEDIAN(IF(ISNUMBER(G168:G222),G168:G222))</f>
        <v>2</v>
      </c>
      <c r="S5" t="s">
        <v>513</v>
      </c>
      <c r="T5" cm="1">
        <f t="array" ref="T5">MEDIAN(IF(ISNUMBER(G223:G277),G223:G277))</f>
        <v>1.5</v>
      </c>
      <c r="U5" t="s">
        <v>513</v>
      </c>
      <c r="V5" cm="1">
        <f t="array" ref="V5">MEDIAN(IF(ISNUMBER(G278:G332),G278:G332))</f>
        <v>2</v>
      </c>
    </row>
    <row r="6" spans="1:22" x14ac:dyDescent="0.2">
      <c r="A6" s="1">
        <v>2018</v>
      </c>
      <c r="B6" s="1">
        <v>1</v>
      </c>
      <c r="C6" s="2" t="s">
        <v>18</v>
      </c>
      <c r="D6" s="2" t="s">
        <v>19</v>
      </c>
      <c r="E6" s="2" t="s">
        <v>20</v>
      </c>
      <c r="F6" s="7" t="s">
        <v>21</v>
      </c>
      <c r="G6" cm="1">
        <f t="array" ref="G6">_xlfn.SWITCH(F6,"🟩 Superstar",5,"🟦 Star / All-Star",4,"🟨 Above-average starter",3,"⬛ Contributor / role player",2,"🟥 Bust",1,"⏳ Too early to tell","")</f>
        <v>3</v>
      </c>
      <c r="I6" t="s">
        <v>514</v>
      </c>
      <c r="J6" cm="1">
        <f t="array" ref="J6">_xlfn.STDEV.S(IF(ISNUMBER(G3:G332),G3:G332))</f>
        <v>1.1823241648283882</v>
      </c>
      <c r="K6" t="s">
        <v>514</v>
      </c>
      <c r="L6" cm="1">
        <f t="array" ref="L6">_xlfn.STDEV.S(IF(ISNUMBER(G3:G57),G3:G57))</f>
        <v>1.2995725793078621</v>
      </c>
      <c r="M6" t="s">
        <v>514</v>
      </c>
      <c r="N6" cm="1">
        <f t="array" ref="N6">_xlfn.STDEV.S(IF(ISNUMBER(G58:G112),G58:G112))</f>
        <v>0.99086738861372448</v>
      </c>
      <c r="O6" t="s">
        <v>514</v>
      </c>
      <c r="P6" cm="1">
        <f t="array" ref="P6">_xlfn.STDEV.S(IF(ISNUMBER(G113:G167),G113:G167))</f>
        <v>1.2843266521780778</v>
      </c>
      <c r="Q6" t="s">
        <v>514</v>
      </c>
      <c r="R6" cm="1">
        <f t="array" ref="R6">_xlfn.STDEV.S(IF(ISNUMBER(G168:G222),G168:G222))</f>
        <v>0.92052352075675925</v>
      </c>
      <c r="S6" t="s">
        <v>514</v>
      </c>
      <c r="T6" cm="1">
        <f t="array" ref="T6">_xlfn.STDEV.S(IF(ISNUMBER(G223:G277),G223:G277))</f>
        <v>1.0026534843413428</v>
      </c>
      <c r="U6" t="s">
        <v>514</v>
      </c>
      <c r="V6" cm="1">
        <f t="array" ref="V6">_xlfn.STDEV.S(IF(ISNUMBER(G278:G332),G278:G332))</f>
        <v>0.9978237188567145</v>
      </c>
    </row>
    <row r="7" spans="1:22" x14ac:dyDescent="0.2">
      <c r="A7" s="1">
        <v>2019</v>
      </c>
      <c r="B7" s="1">
        <v>1</v>
      </c>
      <c r="C7" s="2" t="s">
        <v>22</v>
      </c>
      <c r="D7" s="2" t="s">
        <v>23</v>
      </c>
      <c r="E7" s="2" t="s">
        <v>24</v>
      </c>
      <c r="F7" s="4" t="s">
        <v>14</v>
      </c>
      <c r="G7" cm="1">
        <f t="array" ref="G7">_xlfn.SWITCH(F7,"🟩 Superstar",5,"🟦 Star / All-Star",4,"🟨 Above-average starter",3,"⬛ Contributor / role player",2,"🟥 Bust",1,"⏳ Too early to tell","")</f>
        <v>4</v>
      </c>
      <c r="I7" t="s">
        <v>515</v>
      </c>
      <c r="J7">
        <f>CORREL(B3:B332,G3:G332)</f>
        <v>-0.35099849519465637</v>
      </c>
      <c r="K7" t="s">
        <v>515</v>
      </c>
      <c r="L7">
        <f>CORREL(B3:B57,G3:G57)</f>
        <v>-0.28124169312559794</v>
      </c>
      <c r="M7" t="s">
        <v>515</v>
      </c>
      <c r="N7">
        <f>CORREL(B58:B112,G58:G112)</f>
        <v>-0.19245008972987529</v>
      </c>
      <c r="O7" t="s">
        <v>515</v>
      </c>
      <c r="P7">
        <f>CORREL(B113:B167,G113:G167)</f>
        <v>-0.28458024438277113</v>
      </c>
      <c r="Q7" t="s">
        <v>515</v>
      </c>
      <c r="R7">
        <f>CORREL(B168:B222,G168:G222)</f>
        <v>1.5399880497391031E-2</v>
      </c>
      <c r="S7" t="s">
        <v>515</v>
      </c>
      <c r="T7">
        <f>CORREL(B223:B277,G223:G277)</f>
        <v>-0.16275783658988724</v>
      </c>
      <c r="U7" t="s">
        <v>515</v>
      </c>
      <c r="V7">
        <f>CORREL(B278:B332,G278:G332)</f>
        <v>0.16756724717048424</v>
      </c>
    </row>
    <row r="8" spans="1:22" x14ac:dyDescent="0.2">
      <c r="A8" s="1">
        <v>2020</v>
      </c>
      <c r="B8" s="1">
        <v>1</v>
      </c>
      <c r="C8" s="2" t="s">
        <v>7</v>
      </c>
      <c r="D8" s="2" t="s">
        <v>25</v>
      </c>
      <c r="E8" s="2" t="s">
        <v>26</v>
      </c>
      <c r="F8" s="3" t="s">
        <v>10</v>
      </c>
      <c r="G8" cm="1">
        <f t="array" ref="G8">_xlfn.SWITCH(F8,"🟩 Superstar",5,"🟦 Star / All-Star",4,"🟨 Above-average starter",3,"⬛ Contributor / role player",2,"🟥 Bust",1,"⏳ Too early to tell","")</f>
        <v>5</v>
      </c>
      <c r="I8" t="s">
        <v>516</v>
      </c>
      <c r="J8">
        <f>J7*J7</f>
        <v>0.12319994362891321</v>
      </c>
      <c r="K8" t="s">
        <v>516</v>
      </c>
      <c r="L8">
        <f>L7*L7</f>
        <v>7.9096889952152999E-2</v>
      </c>
      <c r="M8" t="s">
        <v>516</v>
      </c>
      <c r="N8">
        <f>N7*N7</f>
        <v>3.7037037037037049E-2</v>
      </c>
      <c r="O8" t="s">
        <v>516</v>
      </c>
      <c r="P8">
        <f>P7*P7</f>
        <v>8.0985915492957736E-2</v>
      </c>
      <c r="Q8" t="s">
        <v>516</v>
      </c>
      <c r="R8">
        <f>R7*R7</f>
        <v>2.3715631933392462E-4</v>
      </c>
      <c r="S8" t="s">
        <v>516</v>
      </c>
      <c r="T8">
        <f>T7*T7</f>
        <v>2.6490113371420439E-2</v>
      </c>
      <c r="U8" t="s">
        <v>516</v>
      </c>
      <c r="V8">
        <f>V7*V7</f>
        <v>2.8078782324294158E-2</v>
      </c>
    </row>
    <row r="9" spans="1:22" x14ac:dyDescent="0.2">
      <c r="A9" s="1">
        <v>2021</v>
      </c>
      <c r="B9" s="1">
        <v>1</v>
      </c>
      <c r="C9" s="2" t="s">
        <v>27</v>
      </c>
      <c r="D9" s="2" t="s">
        <v>28</v>
      </c>
      <c r="E9" s="2" t="s">
        <v>29</v>
      </c>
      <c r="F9" s="3" t="s">
        <v>10</v>
      </c>
      <c r="G9" cm="1">
        <f t="array" ref="G9">_xlfn.SWITCH(F9,"🟩 Superstar",5,"🟦 Star / All-Star",4,"🟨 Above-average starter",3,"⬛ Contributor / role player",2,"🟥 Bust",1,"⏳ Too early to tell","")</f>
        <v>5</v>
      </c>
    </row>
    <row r="10" spans="1:22" x14ac:dyDescent="0.2">
      <c r="A10" s="1">
        <v>2022</v>
      </c>
      <c r="B10" s="1">
        <v>1</v>
      </c>
      <c r="C10" s="2" t="s">
        <v>30</v>
      </c>
      <c r="D10" s="2" t="s">
        <v>31</v>
      </c>
      <c r="E10" s="2" t="s">
        <v>24</v>
      </c>
      <c r="F10" s="4" t="s">
        <v>14</v>
      </c>
      <c r="G10" cm="1">
        <f t="array" ref="G10">_xlfn.SWITCH(F10,"🟩 Superstar",5,"🟦 Star / All-Star",4,"🟨 Above-average starter",3,"⬛ Contributor / role player",2,"🟥 Bust",1,"⏳ Too early to tell","")</f>
        <v>4</v>
      </c>
    </row>
    <row r="11" spans="1:22" x14ac:dyDescent="0.2">
      <c r="A11" s="1">
        <v>2023</v>
      </c>
      <c r="B11" s="1">
        <v>1</v>
      </c>
      <c r="C11" s="2" t="s">
        <v>32</v>
      </c>
      <c r="D11" s="2" t="s">
        <v>33</v>
      </c>
      <c r="E11" s="2" t="s">
        <v>34</v>
      </c>
      <c r="F11" s="3" t="s">
        <v>10</v>
      </c>
      <c r="G11" cm="1">
        <f t="array" ref="G11">_xlfn.SWITCH(F11,"🟩 Superstar",5,"🟦 Star / All-Star",4,"🟨 Above-average starter",3,"⬛ Contributor / role player",2,"🟥 Bust",1,"⏳ Too early to tell","")</f>
        <v>5</v>
      </c>
      <c r="J11" t="s">
        <v>511</v>
      </c>
      <c r="K11" t="s">
        <v>512</v>
      </c>
      <c r="L11" t="s">
        <v>513</v>
      </c>
      <c r="M11" t="s">
        <v>514</v>
      </c>
      <c r="N11" t="s">
        <v>517</v>
      </c>
    </row>
    <row r="12" spans="1:22" x14ac:dyDescent="0.2">
      <c r="A12" s="1">
        <v>2024</v>
      </c>
      <c r="B12" s="1">
        <v>1</v>
      </c>
      <c r="C12" s="2" t="s">
        <v>35</v>
      </c>
      <c r="D12" s="2" t="s">
        <v>36</v>
      </c>
      <c r="E12" s="2" t="s">
        <v>34</v>
      </c>
      <c r="F12" s="8" t="s">
        <v>37</v>
      </c>
      <c r="G12" t="str" cm="1">
        <f t="array" ref="G12">_xlfn.SWITCH(F12,"🟩 Superstar",5,"🟦 Star / All-Star",4,"🟨 Above-average starter",3,"⬛ Contributor / role player",2,"🟥 Bust",1,"⏳ Too early to tell","")</f>
        <v/>
      </c>
      <c r="I12" t="s">
        <v>518</v>
      </c>
      <c r="J12">
        <f>COUNT(G3:G13)</f>
        <v>9</v>
      </c>
      <c r="K12" cm="1">
        <f t="array" ref="K12">AVERAGE(IF(ISNUMBER(G3:G13),G3:G13))</f>
        <v>4</v>
      </c>
      <c r="L12" cm="1">
        <f t="array" ref="L12">MEDIAN(IF(ISNUMBER(G3:G13),G3:G13))</f>
        <v>4</v>
      </c>
      <c r="M12" cm="1">
        <f t="array" ref="M12">_xlfn.STDEV.S(IF(ISNUMBER(G3:G13),G3:G13))</f>
        <v>1.3228756555322954</v>
      </c>
      <c r="N12" cm="1">
        <f t="array" ref="N12">MODE(IF(ISNUMBER(G3:G13),G3:G13))</f>
        <v>5</v>
      </c>
    </row>
    <row r="13" spans="1:22" x14ac:dyDescent="0.2">
      <c r="A13" s="1">
        <v>2025</v>
      </c>
      <c r="B13" s="1">
        <v>1</v>
      </c>
      <c r="C13" s="2" t="s">
        <v>38</v>
      </c>
      <c r="D13" s="2" t="s">
        <v>39</v>
      </c>
      <c r="E13" s="2" t="s">
        <v>24</v>
      </c>
      <c r="F13" s="8" t="s">
        <v>37</v>
      </c>
      <c r="G13" t="str" cm="1">
        <f t="array" ref="G13">_xlfn.SWITCH(F13,"🟩 Superstar",5,"🟦 Star / All-Star",4,"🟨 Above-average starter",3,"⬛ Contributor / role player",2,"🟥 Bust",1,"⏳ Too early to tell","")</f>
        <v/>
      </c>
      <c r="I13" t="s">
        <v>519</v>
      </c>
      <c r="J13">
        <f>COUNT(G14:G24)</f>
        <v>9</v>
      </c>
      <c r="K13" cm="1">
        <f t="array" ref="K13">AVERAGE(IF(ISNUMBER(G14:G24),G14:G24))</f>
        <v>3</v>
      </c>
      <c r="L13" cm="1">
        <f t="array" ref="L13">MEDIAN(IF(ISNUMBER(G14:G24),G14:G24))</f>
        <v>3</v>
      </c>
      <c r="M13" cm="1">
        <f t="array" ref="M13">_xlfn.STDEV.S(IF(ISNUMBER(G14:G24),G14:G24))</f>
        <v>1.2247448713915889</v>
      </c>
      <c r="N13" cm="1">
        <f t="array" ref="N13">MODE(IF(ISNUMBER(G14:G24),G14:G24))</f>
        <v>4</v>
      </c>
    </row>
    <row r="14" spans="1:22" x14ac:dyDescent="0.2">
      <c r="A14" s="1">
        <v>2015</v>
      </c>
      <c r="B14" s="1">
        <v>2</v>
      </c>
      <c r="C14" s="2" t="s">
        <v>40</v>
      </c>
      <c r="D14" s="2" t="s">
        <v>41</v>
      </c>
      <c r="E14" s="2" t="s">
        <v>42</v>
      </c>
      <c r="F14" s="4" t="s">
        <v>14</v>
      </c>
      <c r="G14" cm="1">
        <f t="array" ref="G14">_xlfn.SWITCH(F14,"🟩 Superstar",5,"🟦 Star / All-Star",4,"🟨 Above-average starter",3,"⬛ Contributor / role player",2,"🟥 Bust",1,"⏳ Too early to tell","")</f>
        <v>4</v>
      </c>
      <c r="I14" t="s">
        <v>520</v>
      </c>
      <c r="J14">
        <f>COUNT(G25:G35)</f>
        <v>9</v>
      </c>
      <c r="K14" cm="1">
        <f t="array" ref="K14">AVERAGE(IF(ISNUMBER(G25:G35),G25:G35))</f>
        <v>3.5555555555555554</v>
      </c>
      <c r="L14" cm="1">
        <f t="array" ref="L14">MEDIAN(IF(ISNUMBER(G25:G35),G25:G35))</f>
        <v>4</v>
      </c>
      <c r="M14" cm="1">
        <f t="array" ref="M14">_xlfn.STDEV.S(IF(ISNUMBER(G25:G35),G25:G35))</f>
        <v>1.4240006242195888</v>
      </c>
      <c r="N14" cm="1">
        <f t="array" ref="N14">MODE(IF(ISNUMBER(G25:G35),G25:G35))</f>
        <v>5</v>
      </c>
    </row>
    <row r="15" spans="1:22" x14ac:dyDescent="0.2">
      <c r="A15" s="1">
        <v>2016</v>
      </c>
      <c r="B15" s="1">
        <v>2</v>
      </c>
      <c r="C15" s="2" t="s">
        <v>40</v>
      </c>
      <c r="D15" s="2" t="s">
        <v>43</v>
      </c>
      <c r="E15" s="2" t="s">
        <v>24</v>
      </c>
      <c r="F15" s="4" t="s">
        <v>14</v>
      </c>
      <c r="G15" cm="1">
        <f t="array" ref="G15">_xlfn.SWITCH(F15,"🟩 Superstar",5,"🟦 Star / All-Star",4,"🟨 Above-average starter",3,"⬛ Contributor / role player",2,"🟥 Bust",1,"⏳ Too early to tell","")</f>
        <v>4</v>
      </c>
      <c r="I15" t="s">
        <v>521</v>
      </c>
      <c r="J15">
        <f>COUNT(G36:G46)</f>
        <v>9</v>
      </c>
      <c r="K15" cm="1">
        <f t="array" ref="K15">AVERAGE(IF(ISNUMBER(G36:G46),G36:G46))</f>
        <v>2.8888888888888888</v>
      </c>
      <c r="L15" cm="1">
        <f t="array" ref="L15">MEDIAN(IF(ISNUMBER(G36:G46),G36:G46))</f>
        <v>3</v>
      </c>
      <c r="M15" cm="1">
        <f t="array" ref="M15">_xlfn.STDEV.S(IF(ISNUMBER(G36:G46),G36:G46))</f>
        <v>1.2692955176439846</v>
      </c>
      <c r="N15" cm="1">
        <f t="array" ref="N15">MODE(IF(ISNUMBER(G36:G46),G36:G46))</f>
        <v>4</v>
      </c>
    </row>
    <row r="16" spans="1:22" x14ac:dyDescent="0.2">
      <c r="A16" s="1">
        <v>2017</v>
      </c>
      <c r="B16" s="1">
        <v>2</v>
      </c>
      <c r="C16" s="2" t="s">
        <v>40</v>
      </c>
      <c r="D16" s="2" t="s">
        <v>44</v>
      </c>
      <c r="E16" s="2" t="s">
        <v>45</v>
      </c>
      <c r="F16" s="7" t="s">
        <v>21</v>
      </c>
      <c r="G16" cm="1">
        <f t="array" ref="G16">_xlfn.SWITCH(F16,"🟩 Superstar",5,"🟦 Star / All-Star",4,"🟨 Above-average starter",3,"⬛ Contributor / role player",2,"🟥 Bust",1,"⏳ Too early to tell","")</f>
        <v>3</v>
      </c>
      <c r="I16" t="s">
        <v>522</v>
      </c>
      <c r="J16">
        <f>COUNT(G47:G57)</f>
        <v>9</v>
      </c>
      <c r="K16" cm="1">
        <f t="array" ref="K16">AVERAGE(IF(ISNUMBER(G47:G57),G47:G57))</f>
        <v>2.7777777777777777</v>
      </c>
      <c r="L16" cm="1">
        <f t="array" ref="L16">MEDIAN(IF(ISNUMBER(G47:G57),G47:G57))</f>
        <v>3</v>
      </c>
      <c r="M16" cm="1">
        <f t="array" ref="M16">_xlfn.STDEV.S(IF(ISNUMBER(G47:G57),G47:G57))</f>
        <v>1.0929064207170003</v>
      </c>
      <c r="N16" cm="1">
        <f t="array" ref="N16">MODE(IF(ISNUMBER(G47:G57),G47:G57))</f>
        <v>2</v>
      </c>
    </row>
    <row r="17" spans="1:14" x14ac:dyDescent="0.2">
      <c r="A17" s="1">
        <v>2018</v>
      </c>
      <c r="B17" s="1">
        <v>2</v>
      </c>
      <c r="C17" s="2" t="s">
        <v>46</v>
      </c>
      <c r="D17" s="2" t="s">
        <v>47</v>
      </c>
      <c r="E17" s="2" t="s">
        <v>24</v>
      </c>
      <c r="F17" s="5" t="s">
        <v>17</v>
      </c>
      <c r="G17" cm="1">
        <f t="array" ref="G17">_xlfn.SWITCH(F17,"🟩 Superstar",5,"🟦 Star / All-Star",4,"🟨 Above-average starter",3,"⬛ Contributor / role player",2,"🟥 Bust",1,"⏳ Too early to tell","")</f>
        <v>1</v>
      </c>
      <c r="I17" t="s">
        <v>523</v>
      </c>
      <c r="J17">
        <f>COUNT(G58:G68)</f>
        <v>9</v>
      </c>
      <c r="K17" cm="1">
        <f t="array" ref="K17">AVERAGE(IF(ISNUMBER(G58:G68),G58:G68))</f>
        <v>2.3333333333333335</v>
      </c>
      <c r="L17" cm="1">
        <f t="array" ref="L17">MEDIAN(IF(ISNUMBER(G58:G68),G58:G68))</f>
        <v>3</v>
      </c>
      <c r="M17" cm="1">
        <f t="array" ref="M17">_xlfn.STDEV.S(IF(ISNUMBER(G58:G68),G58:G68))</f>
        <v>0.8660254037844386</v>
      </c>
      <c r="N17" cm="1">
        <f t="array" ref="N17">MODE(IF(ISNUMBER(G58:G68),G58:G68))</f>
        <v>3</v>
      </c>
    </row>
    <row r="18" spans="1:14" x14ac:dyDescent="0.2">
      <c r="A18" s="1">
        <v>2019</v>
      </c>
      <c r="B18" s="1">
        <v>2</v>
      </c>
      <c r="C18" s="2" t="s">
        <v>48</v>
      </c>
      <c r="D18" s="2" t="s">
        <v>49</v>
      </c>
      <c r="E18" s="2" t="s">
        <v>50</v>
      </c>
      <c r="F18" s="4" t="s">
        <v>14</v>
      </c>
      <c r="G18" cm="1">
        <f t="array" ref="G18">_xlfn.SWITCH(F18,"🟩 Superstar",5,"🟦 Star / All-Star",4,"🟨 Above-average starter",3,"⬛ Contributor / role player",2,"🟥 Bust",1,"⏳ Too early to tell","")</f>
        <v>4</v>
      </c>
      <c r="I18" t="s">
        <v>524</v>
      </c>
      <c r="J18">
        <f>COUNT(G69:G79)</f>
        <v>9</v>
      </c>
      <c r="K18" cm="1">
        <f t="array" ref="K18">AVERAGE(IF(ISNUMBER(G69:G79),G69:G79))</f>
        <v>2.5555555555555554</v>
      </c>
      <c r="L18" cm="1">
        <f t="array" ref="L18">MEDIAN(IF(ISNUMBER(G69:G79),G69:G79))</f>
        <v>3</v>
      </c>
      <c r="M18" cm="1">
        <f t="array" ref="M18">_xlfn.STDEV.S(IF(ISNUMBER(G69:G79),G69:G79))</f>
        <v>1.1303883305208779</v>
      </c>
      <c r="N18" cm="1">
        <f t="array" ref="N18">MODE(IF(ISNUMBER(G69:G79),G69:G79))</f>
        <v>3</v>
      </c>
    </row>
    <row r="19" spans="1:14" x14ac:dyDescent="0.2">
      <c r="A19" s="1">
        <v>2020</v>
      </c>
      <c r="B19" s="1">
        <v>2</v>
      </c>
      <c r="C19" s="2" t="s">
        <v>51</v>
      </c>
      <c r="D19" s="2" t="s">
        <v>52</v>
      </c>
      <c r="E19" s="2" t="s">
        <v>53</v>
      </c>
      <c r="F19" s="5" t="s">
        <v>17</v>
      </c>
      <c r="G19" cm="1">
        <f t="array" ref="G19">_xlfn.SWITCH(F19,"🟩 Superstar",5,"🟦 Star / All-Star",4,"🟨 Above-average starter",3,"⬛ Contributor / role player",2,"🟥 Bust",1,"⏳ Too early to tell","")</f>
        <v>1</v>
      </c>
      <c r="I19" t="s">
        <v>525</v>
      </c>
      <c r="J19">
        <f>COUNT(G80:G90)</f>
        <v>9</v>
      </c>
      <c r="K19" cm="1">
        <f t="array" ref="K19">AVERAGE(IF(ISNUMBER(G80:G90),G80:G90))</f>
        <v>2.1111111111111112</v>
      </c>
      <c r="L19" cm="1">
        <f t="array" ref="L19">MEDIAN(IF(ISNUMBER(G80:G90),G80:G90))</f>
        <v>2</v>
      </c>
      <c r="M19" cm="1">
        <f t="array" ref="M19">_xlfn.STDEV.S(IF(ISNUMBER(G80:G90),G80:G90))</f>
        <v>1.0540925533894596</v>
      </c>
      <c r="N19" cm="1">
        <f t="array" ref="N19">MODE(IF(ISNUMBER(G80:G90),G80:G90))</f>
        <v>1</v>
      </c>
    </row>
    <row r="20" spans="1:14" x14ac:dyDescent="0.2">
      <c r="A20" s="1">
        <v>2021</v>
      </c>
      <c r="B20" s="1">
        <v>2</v>
      </c>
      <c r="C20" s="2" t="s">
        <v>54</v>
      </c>
      <c r="D20" s="2" t="s">
        <v>55</v>
      </c>
      <c r="E20" s="2" t="s">
        <v>56</v>
      </c>
      <c r="F20" s="7" t="s">
        <v>21</v>
      </c>
      <c r="G20" cm="1">
        <f t="array" ref="G20">_xlfn.SWITCH(F20,"🟩 Superstar",5,"🟦 Star / All-Star",4,"🟨 Above-average starter",3,"⬛ Contributor / role player",2,"🟥 Bust",1,"⏳ Too early to tell","")</f>
        <v>3</v>
      </c>
      <c r="I20" t="s">
        <v>526</v>
      </c>
      <c r="J20">
        <f>COUNT(G91:G101)</f>
        <v>9</v>
      </c>
      <c r="K20" cm="1">
        <f t="array" ref="K20">AVERAGE(IF(ISNUMBER(G91:G101),G91:G101))</f>
        <v>2.1111111111111112</v>
      </c>
      <c r="L20" cm="1">
        <f t="array" ref="L20">MEDIAN(IF(ISNUMBER(G91:G101),G91:G101))</f>
        <v>2</v>
      </c>
      <c r="M20" cm="1">
        <f t="array" ref="M20">_xlfn.STDEV.S(IF(ISNUMBER(G91:G101),G91:G101))</f>
        <v>0.92796072713833677</v>
      </c>
      <c r="N20" cm="1">
        <f t="array" ref="N20">MODE(IF(ISNUMBER(G91:G101),G91:G101))</f>
        <v>2</v>
      </c>
    </row>
    <row r="21" spans="1:14" x14ac:dyDescent="0.2">
      <c r="A21" s="1">
        <v>2022</v>
      </c>
      <c r="B21" s="1">
        <v>2</v>
      </c>
      <c r="C21" s="2" t="s">
        <v>57</v>
      </c>
      <c r="D21" s="2" t="s">
        <v>58</v>
      </c>
      <c r="E21" s="2" t="s">
        <v>59</v>
      </c>
      <c r="F21" s="4" t="s">
        <v>14</v>
      </c>
      <c r="G21" cm="1">
        <f t="array" ref="G21">_xlfn.SWITCH(F21,"🟩 Superstar",5,"🟦 Star / All-Star",4,"🟨 Above-average starter",3,"⬛ Contributor / role player",2,"🟥 Bust",1,"⏳ Too early to tell","")</f>
        <v>4</v>
      </c>
      <c r="I21" t="s">
        <v>527</v>
      </c>
      <c r="J21">
        <f>COUNT(G102:G112)</f>
        <v>9</v>
      </c>
      <c r="K21" cm="1">
        <f t="array" ref="K21">AVERAGE(IF(ISNUMBER(G102:G112),G102:G112))</f>
        <v>1.8888888888888888</v>
      </c>
      <c r="L21" cm="1">
        <f t="array" ref="L21">MEDIAN(IF(ISNUMBER(G102:G112),G102:G112))</f>
        <v>2</v>
      </c>
      <c r="M21" cm="1">
        <f t="array" ref="M21">_xlfn.STDEV.S(IF(ISNUMBER(G102:G112),G102:G112))</f>
        <v>1.0540925533894596</v>
      </c>
      <c r="N21" cm="1">
        <f t="array" ref="N21">MODE(IF(ISNUMBER(G102:G112),G102:G112))</f>
        <v>1</v>
      </c>
    </row>
    <row r="22" spans="1:14" x14ac:dyDescent="0.2">
      <c r="A22" s="1">
        <v>2023</v>
      </c>
      <c r="B22" s="1">
        <v>2</v>
      </c>
      <c r="C22" s="2" t="s">
        <v>60</v>
      </c>
      <c r="D22" s="2" t="s">
        <v>61</v>
      </c>
      <c r="E22" s="2" t="s">
        <v>62</v>
      </c>
      <c r="F22" s="7" t="s">
        <v>21</v>
      </c>
      <c r="G22" cm="1">
        <f t="array" ref="G22">_xlfn.SWITCH(F22,"🟩 Superstar",5,"🟦 Star / All-Star",4,"🟨 Above-average starter",3,"⬛ Contributor / role player",2,"🟥 Bust",1,"⏳ Too early to tell","")</f>
        <v>3</v>
      </c>
      <c r="I22" t="s">
        <v>528</v>
      </c>
      <c r="J22">
        <f>COUNT(G113:G123)</f>
        <v>9</v>
      </c>
      <c r="K22" cm="1">
        <f t="array" ref="K22">AVERAGE(IF(ISNUMBER(G113:G123),G113:G123))</f>
        <v>2.6666666666666665</v>
      </c>
      <c r="L22" cm="1">
        <f t="array" ref="L22">MEDIAN(IF(ISNUMBER(G113:G123),G113:G123))</f>
        <v>3</v>
      </c>
      <c r="M22" cm="1">
        <f t="array" ref="M22">_xlfn.STDEV.S(IF(ISNUMBER(G113:G123),G113:G123))</f>
        <v>1.3228756555322954</v>
      </c>
      <c r="N22" cm="1">
        <f t="array" ref="N22">MODE(IF(ISNUMBER(G113:G123),G113:G123))</f>
        <v>3</v>
      </c>
    </row>
    <row r="23" spans="1:14" x14ac:dyDescent="0.2">
      <c r="A23" s="1">
        <v>2024</v>
      </c>
      <c r="B23" s="1">
        <v>2</v>
      </c>
      <c r="C23" s="2" t="s">
        <v>64</v>
      </c>
      <c r="D23" s="2" t="s">
        <v>65</v>
      </c>
      <c r="E23" s="2" t="s">
        <v>34</v>
      </c>
      <c r="F23" s="8" t="s">
        <v>37</v>
      </c>
      <c r="G23" t="str" cm="1">
        <f t="array" ref="G23">_xlfn.SWITCH(F23,"🟩 Superstar",5,"🟦 Star / All-Star",4,"🟨 Above-average starter",3,"⬛ Contributor / role player",2,"🟥 Bust",1,"⏳ Too early to tell","")</f>
        <v/>
      </c>
      <c r="I23" t="s">
        <v>529</v>
      </c>
      <c r="J23">
        <f>COUNT(G124:G134)</f>
        <v>9</v>
      </c>
      <c r="K23" cm="1">
        <f t="array" ref="K23">AVERAGE(IF(ISNUMBER(G124:G134),G124:G134))</f>
        <v>2.7777777777777777</v>
      </c>
      <c r="L23" cm="1">
        <f t="array" ref="L23">MEDIAN(IF(ISNUMBER(G124:G134),G124:G134))</f>
        <v>3</v>
      </c>
      <c r="M23" cm="1">
        <f t="array" ref="M23">_xlfn.STDEV.S(IF(ISNUMBER(G124:G134),G124:G134))</f>
        <v>1.2018504251546631</v>
      </c>
      <c r="N23" cm="1">
        <f t="array" ref="N23">MODE(IF(ISNUMBER(G124:G134),G124:G134))</f>
        <v>2</v>
      </c>
    </row>
    <row r="24" spans="1:14" x14ac:dyDescent="0.2">
      <c r="A24" s="1">
        <v>2025</v>
      </c>
      <c r="B24" s="1">
        <v>2</v>
      </c>
      <c r="C24" s="2" t="s">
        <v>32</v>
      </c>
      <c r="D24" s="2" t="s">
        <v>66</v>
      </c>
      <c r="E24" s="2" t="s">
        <v>67</v>
      </c>
      <c r="F24" s="8" t="s">
        <v>37</v>
      </c>
      <c r="G24" t="str" cm="1">
        <f t="array" ref="G24">_xlfn.SWITCH(F24,"🟩 Superstar",5,"🟦 Star / All-Star",4,"🟨 Above-average starter",3,"⬛ Contributor / role player",2,"🟥 Bust",1,"⏳ Too early to tell","")</f>
        <v/>
      </c>
      <c r="I24" t="s">
        <v>530</v>
      </c>
      <c r="J24">
        <f>COUNT(G135:G145)</f>
        <v>9</v>
      </c>
      <c r="K24" cm="1">
        <f t="array" ref="K24">AVERAGE(IF(ISNUMBER(G135:G145),G135:G145))</f>
        <v>2.6666666666666665</v>
      </c>
      <c r="L24" cm="1">
        <f t="array" ref="L24">MEDIAN(IF(ISNUMBER(G135:G145),G135:G145))</f>
        <v>2</v>
      </c>
      <c r="M24" cm="1">
        <f t="array" ref="M24">_xlfn.STDEV.S(IF(ISNUMBER(G135:G145),G135:G145))</f>
        <v>1.8027756377319946</v>
      </c>
      <c r="N24" cm="1">
        <f t="array" ref="N24">MODE(IF(ISNUMBER(G135:G145),G135:G145))</f>
        <v>1</v>
      </c>
    </row>
    <row r="25" spans="1:14" x14ac:dyDescent="0.2">
      <c r="A25" s="1">
        <v>2015</v>
      </c>
      <c r="B25" s="1">
        <v>3</v>
      </c>
      <c r="C25" s="2" t="s">
        <v>11</v>
      </c>
      <c r="D25" s="2" t="s">
        <v>68</v>
      </c>
      <c r="E25" s="2" t="s">
        <v>24</v>
      </c>
      <c r="F25" s="5" t="s">
        <v>17</v>
      </c>
      <c r="G25" cm="1">
        <f t="array" ref="G25">_xlfn.SWITCH(F25,"🟩 Superstar",5,"🟦 Star / All-Star",4,"🟨 Above-average starter",3,"⬛ Contributor / role player",2,"🟥 Bust",1,"⏳ Too early to tell","")</f>
        <v>1</v>
      </c>
      <c r="I25" t="s">
        <v>531</v>
      </c>
      <c r="J25">
        <f>COUNT(G146:G156)</f>
        <v>9</v>
      </c>
      <c r="K25" cm="1">
        <f t="array" ref="K25">AVERAGE(IF(ISNUMBER(G146:G156),G146:G156))</f>
        <v>2</v>
      </c>
      <c r="L25" cm="1">
        <f t="array" ref="L25">MEDIAN(IF(ISNUMBER(G146:G156),G146:G156))</f>
        <v>2</v>
      </c>
      <c r="M25" cm="1">
        <f t="array" ref="M25">_xlfn.STDEV.S(IF(ISNUMBER(G146:G156),G146:G156))</f>
        <v>1</v>
      </c>
      <c r="N25" cm="1">
        <f t="array" ref="N25">MODE(IF(ISNUMBER(G146:G156),G146:G156))</f>
        <v>2</v>
      </c>
    </row>
    <row r="26" spans="1:14" x14ac:dyDescent="0.2">
      <c r="A26" s="1">
        <v>2016</v>
      </c>
      <c r="B26" s="1">
        <v>3</v>
      </c>
      <c r="C26" s="2" t="s">
        <v>69</v>
      </c>
      <c r="D26" s="2" t="s">
        <v>70</v>
      </c>
      <c r="E26" s="2" t="s">
        <v>71</v>
      </c>
      <c r="F26" s="3" t="s">
        <v>10</v>
      </c>
      <c r="G26" cm="1">
        <f t="array" ref="G26">_xlfn.SWITCH(F26,"🟩 Superstar",5,"🟦 Star / All-Star",4,"🟨 Above-average starter",3,"⬛ Contributor / role player",2,"🟥 Bust",1,"⏳ Too early to tell","")</f>
        <v>5</v>
      </c>
      <c r="I26" t="s">
        <v>532</v>
      </c>
      <c r="J26">
        <f>COUNT(G157:G167)</f>
        <v>9</v>
      </c>
      <c r="K26" cm="1">
        <f t="array" ref="K26">AVERAGE(IF(ISNUMBER(G157:G167),G157:G167))</f>
        <v>1.7777777777777777</v>
      </c>
      <c r="L26" cm="1">
        <f t="array" ref="L26">MEDIAN(IF(ISNUMBER(G157:G167),G157:G167))</f>
        <v>2</v>
      </c>
      <c r="M26" cm="1">
        <f t="array" ref="M26">_xlfn.STDEV.S(IF(ISNUMBER(G157:G167),G157:G167))</f>
        <v>0.83333333333333348</v>
      </c>
      <c r="N26" cm="1">
        <f t="array" ref="N26">MODE(IF(ISNUMBER(G157:G167),G157:G167))</f>
        <v>1</v>
      </c>
    </row>
    <row r="27" spans="1:14" x14ac:dyDescent="0.2">
      <c r="A27" s="1">
        <v>2017</v>
      </c>
      <c r="B27" s="1">
        <v>3</v>
      </c>
      <c r="C27" s="2" t="s">
        <v>69</v>
      </c>
      <c r="D27" s="2" t="s">
        <v>72</v>
      </c>
      <c r="E27" s="2" t="s">
        <v>24</v>
      </c>
      <c r="F27" s="3" t="s">
        <v>10</v>
      </c>
      <c r="G27" cm="1">
        <f t="array" ref="G27">_xlfn.SWITCH(F27,"🟩 Superstar",5,"🟦 Star / All-Star",4,"🟨 Above-average starter",3,"⬛ Contributor / role player",2,"🟥 Bust",1,"⏳ Too early to tell","")</f>
        <v>5</v>
      </c>
      <c r="I27" t="s">
        <v>533</v>
      </c>
      <c r="J27">
        <f>COUNT(G168:G178)</f>
        <v>10</v>
      </c>
      <c r="K27" cm="1">
        <f t="array" ref="K27">AVERAGE(IF(ISNUMBER(G168:G178),G168:G178))</f>
        <v>2.2000000000000002</v>
      </c>
      <c r="L27" cm="1">
        <f t="array" ref="L27">MEDIAN(IF(ISNUMBER(G168:G178),G168:G178))</f>
        <v>2</v>
      </c>
      <c r="M27" cm="1">
        <f t="array" ref="M27">_xlfn.STDEV.S(IF(ISNUMBER(G168:G178),G168:G178))</f>
        <v>1.0327955589886446</v>
      </c>
      <c r="N27" cm="1">
        <f t="array" ref="N27">MODE(IF(ISNUMBER(G168:G178),G168:G178))</f>
        <v>3</v>
      </c>
    </row>
    <row r="28" spans="1:14" x14ac:dyDescent="0.2">
      <c r="A28" s="1">
        <v>2018</v>
      </c>
      <c r="B28" s="1">
        <v>3</v>
      </c>
      <c r="C28" s="2" t="s">
        <v>35</v>
      </c>
      <c r="D28" s="2" t="s">
        <v>73</v>
      </c>
      <c r="E28" s="2" t="s">
        <v>74</v>
      </c>
      <c r="F28" s="3" t="s">
        <v>10</v>
      </c>
      <c r="G28" cm="1">
        <f t="array" ref="G28">_xlfn.SWITCH(F28,"🟩 Superstar",5,"🟦 Star / All-Star",4,"🟨 Above-average starter",3,"⬛ Contributor / role player",2,"🟥 Bust",1,"⏳ Too early to tell","")</f>
        <v>5</v>
      </c>
      <c r="I28" t="s">
        <v>534</v>
      </c>
      <c r="J28">
        <f>COUNT(G179:G189)</f>
        <v>10</v>
      </c>
      <c r="K28" cm="1">
        <f t="array" ref="K28">AVERAGE(IF(ISNUMBER(G179:G189),G179:G189))</f>
        <v>1.8</v>
      </c>
      <c r="L28" cm="1">
        <f t="array" ref="L28">MEDIAN(IF(ISNUMBER(G179:G189),G179:G189))</f>
        <v>1</v>
      </c>
      <c r="M28" cm="1">
        <f t="array" ref="M28">_xlfn.STDEV.S(IF(ISNUMBER(G179:G189),G179:G189))</f>
        <v>1.1352924243950935</v>
      </c>
      <c r="N28" cm="1">
        <f t="array" ref="N28">MODE(IF(ISNUMBER(G179:G189),G179:G189))</f>
        <v>1</v>
      </c>
    </row>
    <row r="29" spans="1:14" x14ac:dyDescent="0.2">
      <c r="A29" s="1">
        <v>2019</v>
      </c>
      <c r="B29" s="1">
        <v>3</v>
      </c>
      <c r="C29" s="2" t="s">
        <v>75</v>
      </c>
      <c r="D29" s="2" t="s">
        <v>76</v>
      </c>
      <c r="E29" s="2" t="s">
        <v>24</v>
      </c>
      <c r="F29" s="7" t="s">
        <v>21</v>
      </c>
      <c r="G29" cm="1">
        <f t="array" ref="G29">_xlfn.SWITCH(F29,"🟩 Superstar",5,"🟦 Star / All-Star",4,"🟨 Above-average starter",3,"⬛ Contributor / role player",2,"🟥 Bust",1,"⏳ Too early to tell","")</f>
        <v>3</v>
      </c>
      <c r="I29" t="s">
        <v>535</v>
      </c>
      <c r="J29">
        <f>COUNT(G190:G200)</f>
        <v>9</v>
      </c>
      <c r="K29" cm="1">
        <f t="array" ref="K29">AVERAGE(IF(ISNUMBER(G190:G200),G190:G200))</f>
        <v>1.6666666666666667</v>
      </c>
      <c r="L29" cm="1">
        <f t="array" ref="L29">MEDIAN(IF(ISNUMBER(G190:G200),G190:G200))</f>
        <v>2</v>
      </c>
      <c r="M29" cm="1">
        <f t="array" ref="M29">_xlfn.STDEV.S(IF(ISNUMBER(G190:G200),G190:G200))</f>
        <v>0.5</v>
      </c>
      <c r="N29" cm="1">
        <f t="array" ref="N29">MODE(IF(ISNUMBER(G190:G200),G190:G200))</f>
        <v>2</v>
      </c>
    </row>
    <row r="30" spans="1:14" x14ac:dyDescent="0.2">
      <c r="A30" s="1">
        <v>2020</v>
      </c>
      <c r="B30" s="1">
        <v>3</v>
      </c>
      <c r="C30" s="2" t="s">
        <v>60</v>
      </c>
      <c r="D30" s="2" t="s">
        <v>77</v>
      </c>
      <c r="E30" s="2" t="s">
        <v>78</v>
      </c>
      <c r="F30" s="4" t="s">
        <v>14</v>
      </c>
      <c r="G30" cm="1">
        <f t="array" ref="G30">_xlfn.SWITCH(F30,"🟩 Superstar",5,"🟦 Star / All-Star",4,"🟨 Above-average starter",3,"⬛ Contributor / role player",2,"🟥 Bust",1,"⏳ Too early to tell","")</f>
        <v>4</v>
      </c>
      <c r="I30" t="s">
        <v>536</v>
      </c>
      <c r="J30">
        <f>COUNT(G201:G211)</f>
        <v>9</v>
      </c>
      <c r="K30" cm="1">
        <f t="array" ref="K30">AVERAGE(IF(ISNUMBER(G201:G211),G201:G211))</f>
        <v>2.1111111111111112</v>
      </c>
      <c r="L30" cm="1">
        <f t="array" ref="L30">MEDIAN(IF(ISNUMBER(G201:G211),G201:G211))</f>
        <v>2</v>
      </c>
      <c r="M30" cm="1">
        <f t="array" ref="M30">_xlfn.STDEV.S(IF(ISNUMBER(G201:G211),G201:G211))</f>
        <v>0.92796072713833677</v>
      </c>
      <c r="N30" cm="1">
        <f t="array" ref="N30">MODE(IF(ISNUMBER(G201:G211),G201:G211))</f>
        <v>3</v>
      </c>
    </row>
    <row r="31" spans="1:14" x14ac:dyDescent="0.2">
      <c r="A31" s="1">
        <v>2021</v>
      </c>
      <c r="B31" s="1">
        <v>3</v>
      </c>
      <c r="C31" s="2" t="s">
        <v>79</v>
      </c>
      <c r="D31" s="2" t="s">
        <v>80</v>
      </c>
      <c r="E31" s="2" t="s">
        <v>81</v>
      </c>
      <c r="F31" s="4" t="s">
        <v>14</v>
      </c>
      <c r="G31" cm="1">
        <f t="array" ref="G31">_xlfn.SWITCH(F31,"🟩 Superstar",5,"🟦 Star / All-Star",4,"🟨 Above-average starter",3,"⬛ Contributor / role player",2,"🟥 Bust",1,"⏳ Too early to tell","")</f>
        <v>4</v>
      </c>
      <c r="I31" t="s">
        <v>537</v>
      </c>
      <c r="J31">
        <f>COUNT(G212:G222)</f>
        <v>9</v>
      </c>
      <c r="K31" cm="1">
        <f t="array" ref="K31">AVERAGE(IF(ISNUMBER(G212:G222),G212:G222))</f>
        <v>2.1111111111111112</v>
      </c>
      <c r="L31" cm="1">
        <f t="array" ref="L31">MEDIAN(IF(ISNUMBER(G212:G222),G212:G222))</f>
        <v>2</v>
      </c>
      <c r="M31" cm="1">
        <f t="array" ref="M31">_xlfn.STDEV.S(IF(ISNUMBER(G212:G222),G212:G222))</f>
        <v>0.92796072713833677</v>
      </c>
      <c r="N31" cm="1">
        <f t="array" ref="N31">MODE(IF(ISNUMBER(G212:G222),G212:G222))</f>
        <v>2</v>
      </c>
    </row>
    <row r="32" spans="1:14" x14ac:dyDescent="0.2">
      <c r="A32" s="1">
        <v>2022</v>
      </c>
      <c r="B32" s="1">
        <v>3</v>
      </c>
      <c r="C32" s="2" t="s">
        <v>54</v>
      </c>
      <c r="D32" s="2" t="s">
        <v>82</v>
      </c>
      <c r="E32" s="2" t="s">
        <v>83</v>
      </c>
      <c r="F32" s="7" t="s">
        <v>21</v>
      </c>
      <c r="G32" cm="1">
        <f t="array" ref="G32">_xlfn.SWITCH(F32,"🟩 Superstar",5,"🟦 Star / All-Star",4,"🟨 Above-average starter",3,"⬛ Contributor / role player",2,"🟥 Bust",1,"⏳ Too early to tell","")</f>
        <v>3</v>
      </c>
      <c r="I32" t="s">
        <v>538</v>
      </c>
      <c r="J32">
        <f>COUNT(G223:G233)</f>
        <v>9</v>
      </c>
      <c r="K32" cm="1">
        <f t="array" ref="K32">AVERAGE(IF(ISNUMBER(G223:G233),G223:G233))</f>
        <v>2.1111111111111112</v>
      </c>
      <c r="L32" cm="1">
        <f t="array" ref="L32">MEDIAN(IF(ISNUMBER(G223:G233),G223:G233))</f>
        <v>2</v>
      </c>
      <c r="M32" cm="1">
        <f t="array" ref="M32">_xlfn.STDEV.S(IF(ISNUMBER(G223:G233),G223:G233))</f>
        <v>1.2692955176439846</v>
      </c>
      <c r="N32" cm="1">
        <f t="array" ref="N32">MODE(IF(ISNUMBER(G223:G233),G223:G233))</f>
        <v>2</v>
      </c>
    </row>
    <row r="33" spans="1:14" x14ac:dyDescent="0.2">
      <c r="A33" s="1">
        <v>2023</v>
      </c>
      <c r="B33" s="1">
        <v>3</v>
      </c>
      <c r="C33" s="2" t="s">
        <v>84</v>
      </c>
      <c r="D33" s="2" t="s">
        <v>85</v>
      </c>
      <c r="E33" s="2" t="s">
        <v>56</v>
      </c>
      <c r="F33" s="6" t="s">
        <v>63</v>
      </c>
      <c r="G33" cm="1">
        <f t="array" ref="G33">_xlfn.SWITCH(F33,"🟩 Superstar",5,"🟦 Star / All-Star",4,"🟨 Above-average starter",3,"⬛ Contributor / role player",2,"🟥 Bust",1,"⏳ Too early to tell","")</f>
        <v>2</v>
      </c>
      <c r="I33" t="s">
        <v>539</v>
      </c>
      <c r="J33">
        <f>COUNT(G234:G244)</f>
        <v>9</v>
      </c>
      <c r="K33" cm="1">
        <f t="array" ref="K33">AVERAGE(IF(ISNUMBER(G234:G244),G234:G244))</f>
        <v>2</v>
      </c>
      <c r="L33" cm="1">
        <f t="array" ref="L33">MEDIAN(IF(ISNUMBER(G234:G244),G234:G244))</f>
        <v>2</v>
      </c>
      <c r="M33" cm="1">
        <f t="array" ref="M33">_xlfn.STDEV.S(IF(ISNUMBER(G234:G244),G234:G244))</f>
        <v>1.1180339887498949</v>
      </c>
      <c r="N33" cm="1">
        <f t="array" ref="N33">MODE(IF(ISNUMBER(G234:G244),G234:G244))</f>
        <v>1</v>
      </c>
    </row>
    <row r="34" spans="1:14" x14ac:dyDescent="0.2">
      <c r="A34" s="1">
        <v>2024</v>
      </c>
      <c r="B34" s="1">
        <v>3</v>
      </c>
      <c r="C34" s="2" t="s">
        <v>54</v>
      </c>
      <c r="D34" s="2" t="s">
        <v>86</v>
      </c>
      <c r="E34" s="2" t="s">
        <v>9</v>
      </c>
      <c r="F34" s="8" t="s">
        <v>37</v>
      </c>
      <c r="G34" t="str" cm="1">
        <f t="array" ref="G34">_xlfn.SWITCH(F34,"🟩 Superstar",5,"🟦 Star / All-Star",4,"🟨 Above-average starter",3,"⬛ Contributor / role player",2,"🟥 Bust",1,"⏳ Too early to tell","")</f>
        <v/>
      </c>
      <c r="I34" t="s">
        <v>540</v>
      </c>
      <c r="J34">
        <f>COUNT(G245:G255)</f>
        <v>9</v>
      </c>
      <c r="K34" cm="1">
        <f t="array" ref="K34">AVERAGE(IF(ISNUMBER(G245:G255),G245:G255))</f>
        <v>1.5555555555555556</v>
      </c>
      <c r="L34" cm="1">
        <f t="array" ref="L34">MEDIAN(IF(ISNUMBER(G245:G255),G245:G255))</f>
        <v>1</v>
      </c>
      <c r="M34" cm="1">
        <f t="array" ref="M34">_xlfn.STDEV.S(IF(ISNUMBER(G245:G255),G245:G255))</f>
        <v>1.0137937550497031</v>
      </c>
      <c r="N34" cm="1">
        <f t="array" ref="N34">MODE(IF(ISNUMBER(G245:G255),G245:G255))</f>
        <v>1</v>
      </c>
    </row>
    <row r="35" spans="1:14" x14ac:dyDescent="0.2">
      <c r="A35" s="1">
        <v>2025</v>
      </c>
      <c r="B35" s="1">
        <v>3</v>
      </c>
      <c r="C35" s="2" t="s">
        <v>11</v>
      </c>
      <c r="D35" s="2" t="s">
        <v>87</v>
      </c>
      <c r="E35" s="2" t="s">
        <v>88</v>
      </c>
      <c r="F35" s="8" t="s">
        <v>37</v>
      </c>
      <c r="G35" t="str" cm="1">
        <f t="array" ref="G35">_xlfn.SWITCH(F35,"🟩 Superstar",5,"🟦 Star / All-Star",4,"🟨 Above-average starter",3,"⬛ Contributor / role player",2,"🟥 Bust",1,"⏳ Too early to tell","")</f>
        <v/>
      </c>
      <c r="I35" t="s">
        <v>541</v>
      </c>
      <c r="J35">
        <f>COUNT(G256:G266)</f>
        <v>9</v>
      </c>
      <c r="K35" cm="1">
        <f t="array" ref="K35">AVERAGE(IF(ISNUMBER(G256:G266),G256:G266))</f>
        <v>1.6666666666666667</v>
      </c>
      <c r="L35" cm="1">
        <f t="array" ref="L35">MEDIAN(IF(ISNUMBER(G256:G266),G256:G266))</f>
        <v>1</v>
      </c>
      <c r="M35" cm="1">
        <f t="array" ref="M35">_xlfn.STDEV.S(IF(ISNUMBER(G256:G266),G256:G266))</f>
        <v>0.8660254037844386</v>
      </c>
      <c r="N35" cm="1">
        <f t="array" ref="N35">MODE(IF(ISNUMBER(G256:G266),G256:G266))</f>
        <v>1</v>
      </c>
    </row>
    <row r="36" spans="1:14" x14ac:dyDescent="0.2">
      <c r="A36" s="1">
        <v>2015</v>
      </c>
      <c r="B36" s="1">
        <v>4</v>
      </c>
      <c r="C36" s="2" t="s">
        <v>75</v>
      </c>
      <c r="D36" s="2" t="s">
        <v>89</v>
      </c>
      <c r="E36" s="2" t="s">
        <v>90</v>
      </c>
      <c r="F36" s="4" t="s">
        <v>14</v>
      </c>
      <c r="G36" cm="1">
        <f t="array" ref="G36">_xlfn.SWITCH(F36,"🟩 Superstar",5,"🟦 Star / All-Star",4,"🟨 Above-average starter",3,"⬛ Contributor / role player",2,"🟥 Bust",1,"⏳ Too early to tell","")</f>
        <v>4</v>
      </c>
      <c r="I36" t="s">
        <v>542</v>
      </c>
      <c r="J36">
        <f>COUNT(G267:G277)</f>
        <v>10</v>
      </c>
      <c r="K36" cm="1">
        <f t="array" ref="K36">AVERAGE(IF(ISNUMBER(G267:G277),G267:G277))</f>
        <v>1.7</v>
      </c>
      <c r="L36" cm="1">
        <f t="array" ref="L36">MEDIAN(IF(ISNUMBER(G267:G277),G267:G277))</f>
        <v>1.5</v>
      </c>
      <c r="M36" cm="1">
        <f t="array" ref="M36">_xlfn.STDEV.S(IF(ISNUMBER(G267:G277),G267:G277))</f>
        <v>0.8232726023485647</v>
      </c>
      <c r="N36" cm="1">
        <f t="array" ref="N36">MODE(IF(ISNUMBER(G267:G277),G267:G277))</f>
        <v>1</v>
      </c>
    </row>
    <row r="37" spans="1:14" x14ac:dyDescent="0.2">
      <c r="A37" s="1">
        <v>2016</v>
      </c>
      <c r="B37" s="1">
        <v>4</v>
      </c>
      <c r="C37" s="2" t="s">
        <v>18</v>
      </c>
      <c r="D37" s="2" t="s">
        <v>91</v>
      </c>
      <c r="E37" s="2" t="s">
        <v>92</v>
      </c>
      <c r="F37" s="5" t="s">
        <v>17</v>
      </c>
      <c r="G37" cm="1">
        <f t="array" ref="G37">_xlfn.SWITCH(F37,"🟩 Superstar",5,"🟦 Star / All-Star",4,"🟨 Above-average starter",3,"⬛ Contributor / role player",2,"🟥 Bust",1,"⏳ Too early to tell","")</f>
        <v>1</v>
      </c>
      <c r="I37" t="s">
        <v>543</v>
      </c>
      <c r="J37">
        <f>COUNT(G278:G288)</f>
        <v>10</v>
      </c>
      <c r="K37" cm="1">
        <f t="array" ref="K37">AVERAGE(IF(ISNUMBER(G278:G288),G278:G288))</f>
        <v>1.6</v>
      </c>
      <c r="L37" cm="1">
        <f t="array" ref="L37">MEDIAN(IF(ISNUMBER(G278:G288),G278:G288))</f>
        <v>1.5</v>
      </c>
      <c r="M37" cm="1">
        <f t="array" ref="M37">_xlfn.STDEV.S(IF(ISNUMBER(G278:G288),G278:G288))</f>
        <v>0.69920589878010087</v>
      </c>
      <c r="N37" cm="1">
        <f t="array" ref="N37">MODE(IF(ISNUMBER(G278:G288),G278:G288))</f>
        <v>1</v>
      </c>
    </row>
    <row r="38" spans="1:14" x14ac:dyDescent="0.2">
      <c r="A38" s="1">
        <v>2017</v>
      </c>
      <c r="B38" s="1">
        <v>4</v>
      </c>
      <c r="C38" s="2" t="s">
        <v>18</v>
      </c>
      <c r="D38" s="2" t="s">
        <v>93</v>
      </c>
      <c r="E38" s="2" t="s">
        <v>94</v>
      </c>
      <c r="F38" s="5" t="s">
        <v>17</v>
      </c>
      <c r="G38" cm="1">
        <f t="array" ref="G38">_xlfn.SWITCH(F38,"🟩 Superstar",5,"🟦 Star / All-Star",4,"🟨 Above-average starter",3,"⬛ Contributor / role player",2,"🟥 Bust",1,"⏳ Too early to tell","")</f>
        <v>1</v>
      </c>
      <c r="I38" t="s">
        <v>544</v>
      </c>
      <c r="J38">
        <f>COUNT(G289:G299)</f>
        <v>9</v>
      </c>
      <c r="K38" cm="1">
        <f t="array" ref="K38">AVERAGE(IF(ISNUMBER(G289:G299),G289:G299))</f>
        <v>2.2222222222222223</v>
      </c>
      <c r="L38" cm="1">
        <f t="array" ref="L38">MEDIAN(IF(ISNUMBER(G289:G299),G289:G299))</f>
        <v>2</v>
      </c>
      <c r="M38" cm="1">
        <f t="array" ref="M38">_xlfn.STDEV.S(IF(ISNUMBER(G289:G299),G289:G299))</f>
        <v>1.0929064207170003</v>
      </c>
      <c r="N38" cm="1">
        <f t="array" ref="N38">MODE(IF(ISNUMBER(G289:G299),G289:G299))</f>
        <v>3</v>
      </c>
    </row>
    <row r="39" spans="1:14" x14ac:dyDescent="0.2">
      <c r="A39" s="1">
        <v>2018</v>
      </c>
      <c r="B39" s="1">
        <v>4</v>
      </c>
      <c r="C39" s="2" t="s">
        <v>48</v>
      </c>
      <c r="D39" s="2" t="s">
        <v>95</v>
      </c>
      <c r="E39" s="2" t="s">
        <v>96</v>
      </c>
      <c r="F39" s="4" t="s">
        <v>14</v>
      </c>
      <c r="G39" cm="1">
        <f t="array" ref="G39">_xlfn.SWITCH(F39,"🟩 Superstar",5,"🟦 Star / All-Star",4,"🟨 Above-average starter",3,"⬛ Contributor / role player",2,"🟥 Bust",1,"⏳ Too early to tell","")</f>
        <v>4</v>
      </c>
      <c r="I39" t="s">
        <v>545</v>
      </c>
      <c r="J39">
        <f>COUNT(G300:G310)</f>
        <v>9</v>
      </c>
      <c r="K39" cm="1">
        <f t="array" ref="K39">AVERAGE(IF(ISNUMBER(G300:G310),G300:G310))</f>
        <v>1.5555555555555556</v>
      </c>
      <c r="L39" cm="1">
        <f t="array" ref="L39">MEDIAN(IF(ISNUMBER(G300:G310),G300:G310))</f>
        <v>1</v>
      </c>
      <c r="M39" cm="1">
        <f t="array" ref="M39">_xlfn.STDEV.S(IF(ISNUMBER(G300:G310),G300:G310))</f>
        <v>0.88191710368819676</v>
      </c>
      <c r="N39" cm="1">
        <f t="array" ref="N39">MODE(IF(ISNUMBER(G300:G310),G300:G310))</f>
        <v>1</v>
      </c>
    </row>
    <row r="40" spans="1:14" x14ac:dyDescent="0.2">
      <c r="A40" s="1">
        <v>2019</v>
      </c>
      <c r="B40" s="1">
        <v>4</v>
      </c>
      <c r="C40" s="2" t="s">
        <v>40</v>
      </c>
      <c r="D40" s="2" t="s">
        <v>97</v>
      </c>
      <c r="E40" s="2" t="s">
        <v>98</v>
      </c>
      <c r="F40" s="7" t="s">
        <v>21</v>
      </c>
      <c r="G40" cm="1">
        <f t="array" ref="G40">_xlfn.SWITCH(F40,"🟩 Superstar",5,"🟦 Star / All-Star",4,"🟨 Above-average starter",3,"⬛ Contributor / role player",2,"🟥 Bust",1,"⏳ Too early to tell","")</f>
        <v>3</v>
      </c>
      <c r="I40" t="s">
        <v>546</v>
      </c>
      <c r="J40">
        <f>COUNT(G311:G321)</f>
        <v>9</v>
      </c>
      <c r="K40" cm="1">
        <f t="array" ref="K40">AVERAGE(IF(ISNUMBER(G311:G321),G311:G321))</f>
        <v>2.1111111111111112</v>
      </c>
      <c r="L40" cm="1">
        <f t="array" ref="L40">MEDIAN(IF(ISNUMBER(G311:G321),G311:G321))</f>
        <v>2</v>
      </c>
      <c r="M40" cm="1">
        <f t="array" ref="M40">_xlfn.STDEV.S(IF(ISNUMBER(G311:G321),G311:G321))</f>
        <v>1.2692955176439846</v>
      </c>
      <c r="N40" cm="1">
        <f t="array" ref="N40">MODE(IF(ISNUMBER(G311:G321),G311:G321))</f>
        <v>1</v>
      </c>
    </row>
    <row r="41" spans="1:14" x14ac:dyDescent="0.2">
      <c r="A41" s="1">
        <v>2020</v>
      </c>
      <c r="B41" s="1">
        <v>4</v>
      </c>
      <c r="C41" s="2" t="s">
        <v>99</v>
      </c>
      <c r="D41" s="2" t="s">
        <v>100</v>
      </c>
      <c r="E41" s="2" t="s">
        <v>101</v>
      </c>
      <c r="F41" s="6" t="s">
        <v>63</v>
      </c>
      <c r="G41" cm="1">
        <f t="array" ref="G41">_xlfn.SWITCH(F41,"🟩 Superstar",5,"🟦 Star / All-Star",4,"🟨 Above-average starter",3,"⬛ Contributor / role player",2,"🟥 Bust",1,"⏳ Too early to tell","")</f>
        <v>2</v>
      </c>
      <c r="I41" t="s">
        <v>547</v>
      </c>
      <c r="J41">
        <f>COUNT(G322:G332)</f>
        <v>9</v>
      </c>
      <c r="K41" cm="1">
        <f t="array" ref="K41">AVERAGE(IF(ISNUMBER(G322:G332),G322:G332))</f>
        <v>2.2222222222222223</v>
      </c>
      <c r="L41" cm="1">
        <f t="array" ref="L41">MEDIAN(IF(ISNUMBER(G322:G332),G322:G332))</f>
        <v>2</v>
      </c>
      <c r="M41" cm="1">
        <f t="array" ref="M41">_xlfn.STDEV.S(IF(ISNUMBER(G322:G332),G322:G332))</f>
        <v>0.97182531580755016</v>
      </c>
      <c r="N41" cm="1">
        <f t="array" ref="N41">MODE(IF(ISNUMBER(G322:G332),G322:G332))</f>
        <v>2</v>
      </c>
    </row>
    <row r="42" spans="1:14" x14ac:dyDescent="0.2">
      <c r="A42" s="1">
        <v>2021</v>
      </c>
      <c r="B42" s="1">
        <v>4</v>
      </c>
      <c r="C42" s="2" t="s">
        <v>102</v>
      </c>
      <c r="D42" s="2" t="s">
        <v>103</v>
      </c>
      <c r="E42" s="2" t="s">
        <v>101</v>
      </c>
      <c r="F42" s="4" t="s">
        <v>14</v>
      </c>
      <c r="G42" cm="1">
        <f t="array" ref="G42">_xlfn.SWITCH(F42,"🟩 Superstar",5,"🟦 Star / All-Star",4,"🟨 Above-average starter",3,"⬛ Contributor / role player",2,"🟥 Bust",1,"⏳ Too early to tell","")</f>
        <v>4</v>
      </c>
    </row>
    <row r="43" spans="1:14" x14ac:dyDescent="0.2">
      <c r="A43" s="1">
        <v>2022</v>
      </c>
      <c r="B43" s="1">
        <v>4</v>
      </c>
      <c r="C43" s="2" t="s">
        <v>46</v>
      </c>
      <c r="D43" s="2" t="s">
        <v>104</v>
      </c>
      <c r="E43" s="2" t="s">
        <v>105</v>
      </c>
      <c r="F43" s="7" t="s">
        <v>21</v>
      </c>
      <c r="G43" cm="1">
        <f t="array" ref="G43">_xlfn.SWITCH(F43,"🟩 Superstar",5,"🟦 Star / All-Star",4,"🟨 Above-average starter",3,"⬛ Contributor / role player",2,"🟥 Bust",1,"⏳ Too early to tell","")</f>
        <v>3</v>
      </c>
    </row>
    <row r="44" spans="1:14" x14ac:dyDescent="0.2">
      <c r="A44" s="1">
        <v>2023</v>
      </c>
      <c r="B44" s="1">
        <v>4</v>
      </c>
      <c r="C44" s="2" t="s">
        <v>54</v>
      </c>
      <c r="D44" s="2" t="s">
        <v>106</v>
      </c>
      <c r="E44" s="2" t="s">
        <v>107</v>
      </c>
      <c r="F44" s="4" t="s">
        <v>14</v>
      </c>
      <c r="G44" cm="1">
        <f t="array" ref="G44">_xlfn.SWITCH(F44,"🟩 Superstar",5,"🟦 Star / All-Star",4,"🟨 Above-average starter",3,"⬛ Contributor / role player",2,"🟥 Bust",1,"⏳ Too early to tell","")</f>
        <v>4</v>
      </c>
    </row>
    <row r="45" spans="1:14" x14ac:dyDescent="0.2">
      <c r="A45" s="1">
        <v>2024</v>
      </c>
      <c r="B45" s="1">
        <v>4</v>
      </c>
      <c r="C45" s="2" t="s">
        <v>32</v>
      </c>
      <c r="D45" s="2" t="s">
        <v>108</v>
      </c>
      <c r="E45" s="2" t="s">
        <v>109</v>
      </c>
      <c r="F45" s="8" t="s">
        <v>37</v>
      </c>
      <c r="G45" t="str" cm="1">
        <f t="array" ref="G45">_xlfn.SWITCH(F45,"🟩 Superstar",5,"🟦 Star / All-Star",4,"🟨 Above-average starter",3,"⬛ Contributor / role player",2,"🟥 Bust",1,"⏳ Too early to tell","")</f>
        <v/>
      </c>
    </row>
    <row r="46" spans="1:14" x14ac:dyDescent="0.2">
      <c r="A46" s="1">
        <v>2025</v>
      </c>
      <c r="B46" s="1">
        <v>4</v>
      </c>
      <c r="C46" s="2" t="s">
        <v>60</v>
      </c>
      <c r="D46" s="2" t="s">
        <v>110</v>
      </c>
      <c r="E46" s="2" t="s">
        <v>24</v>
      </c>
      <c r="F46" s="8" t="s">
        <v>37</v>
      </c>
      <c r="G46" t="str" cm="1">
        <f t="array" ref="G46">_xlfn.SWITCH(F46,"🟩 Superstar",5,"🟦 Star / All-Star",4,"🟨 Above-average starter",3,"⬛ Contributor / role player",2,"🟥 Bust",1,"⏳ Too early to tell","")</f>
        <v/>
      </c>
    </row>
    <row r="47" spans="1:14" x14ac:dyDescent="0.2">
      <c r="A47" s="1">
        <v>2015</v>
      </c>
      <c r="B47" s="1">
        <v>5</v>
      </c>
      <c r="C47" s="2" t="s">
        <v>30</v>
      </c>
      <c r="D47" s="2" t="s">
        <v>111</v>
      </c>
      <c r="E47" s="2" t="s">
        <v>92</v>
      </c>
      <c r="F47" s="5" t="s">
        <v>17</v>
      </c>
      <c r="G47" cm="1">
        <f t="array" ref="G47">_xlfn.SWITCH(F47,"🟩 Superstar",5,"🟦 Star / All-Star",4,"🟨 Above-average starter",3,"⬛ Contributor / role player",2,"🟥 Bust",1,"⏳ Too early to tell","")</f>
        <v>1</v>
      </c>
    </row>
    <row r="48" spans="1:14" x14ac:dyDescent="0.2">
      <c r="A48" s="1">
        <v>2016</v>
      </c>
      <c r="B48" s="1">
        <v>5</v>
      </c>
      <c r="C48" s="2" t="s">
        <v>7</v>
      </c>
      <c r="D48" s="2" t="s">
        <v>112</v>
      </c>
      <c r="E48" s="2" t="s">
        <v>113</v>
      </c>
      <c r="F48" s="6" t="s">
        <v>63</v>
      </c>
      <c r="G48" cm="1">
        <f t="array" ref="G48">_xlfn.SWITCH(F48,"🟩 Superstar",5,"🟦 Star / All-Star",4,"🟨 Above-average starter",3,"⬛ Contributor / role player",2,"🟥 Bust",1,"⏳ Too early to tell","")</f>
        <v>2</v>
      </c>
    </row>
    <row r="49" spans="1:7" x14ac:dyDescent="0.2">
      <c r="A49" s="1">
        <v>2017</v>
      </c>
      <c r="B49" s="1">
        <v>5</v>
      </c>
      <c r="C49" s="2" t="s">
        <v>46</v>
      </c>
      <c r="D49" s="2" t="s">
        <v>114</v>
      </c>
      <c r="E49" s="2" t="s">
        <v>9</v>
      </c>
      <c r="F49" s="4" t="s">
        <v>14</v>
      </c>
      <c r="G49" cm="1">
        <f t="array" ref="G49">_xlfn.SWITCH(F49,"🟩 Superstar",5,"🟦 Star / All-Star",4,"🟨 Above-average starter",3,"⬛ Contributor / role player",2,"🟥 Bust",1,"⏳ Too early to tell","")</f>
        <v>4</v>
      </c>
    </row>
    <row r="50" spans="1:7" x14ac:dyDescent="0.2">
      <c r="A50" s="1">
        <v>2018</v>
      </c>
      <c r="B50" s="1">
        <v>5</v>
      </c>
      <c r="C50" s="2" t="s">
        <v>38</v>
      </c>
      <c r="D50" s="2" t="s">
        <v>115</v>
      </c>
      <c r="E50" s="2" t="s">
        <v>116</v>
      </c>
      <c r="F50" s="4" t="s">
        <v>14</v>
      </c>
      <c r="G50" cm="1">
        <f t="array" ref="G50">_xlfn.SWITCH(F50,"🟩 Superstar",5,"🟦 Star / All-Star",4,"🟨 Above-average starter",3,"⬛ Contributor / role player",2,"🟥 Bust",1,"⏳ Too early to tell","")</f>
        <v>4</v>
      </c>
    </row>
    <row r="51" spans="1:7" x14ac:dyDescent="0.2">
      <c r="A51" s="1">
        <v>2019</v>
      </c>
      <c r="B51" s="1">
        <v>5</v>
      </c>
      <c r="C51" s="2" t="s">
        <v>79</v>
      </c>
      <c r="D51" s="2" t="s">
        <v>117</v>
      </c>
      <c r="E51" s="2" t="s">
        <v>118</v>
      </c>
      <c r="F51" s="4" t="s">
        <v>14</v>
      </c>
      <c r="G51" cm="1">
        <f t="array" ref="G51">_xlfn.SWITCH(F51,"🟩 Superstar",5,"🟦 Star / All-Star",4,"🟨 Above-average starter",3,"⬛ Contributor / role player",2,"🟥 Bust",1,"⏳ Too early to tell","")</f>
        <v>4</v>
      </c>
    </row>
    <row r="52" spans="1:7" x14ac:dyDescent="0.2">
      <c r="A52" s="1">
        <v>2020</v>
      </c>
      <c r="B52" s="1">
        <v>5</v>
      </c>
      <c r="C52" s="2" t="s">
        <v>79</v>
      </c>
      <c r="D52" s="2" t="s">
        <v>119</v>
      </c>
      <c r="E52" s="2" t="s">
        <v>83</v>
      </c>
      <c r="F52" s="6" t="s">
        <v>63</v>
      </c>
      <c r="G52" cm="1">
        <f t="array" ref="G52">_xlfn.SWITCH(F52,"🟩 Superstar",5,"🟦 Star / All-Star",4,"🟨 Above-average starter",3,"⬛ Contributor / role player",2,"🟥 Bust",1,"⏳ Too early to tell","")</f>
        <v>2</v>
      </c>
    </row>
    <row r="53" spans="1:7" x14ac:dyDescent="0.2">
      <c r="A53" s="1">
        <v>2021</v>
      </c>
      <c r="B53" s="1">
        <v>5</v>
      </c>
      <c r="C53" s="2" t="s">
        <v>30</v>
      </c>
      <c r="D53" s="2" t="s">
        <v>120</v>
      </c>
      <c r="E53" s="2" t="s">
        <v>59</v>
      </c>
      <c r="F53" s="7" t="s">
        <v>21</v>
      </c>
      <c r="G53" cm="1">
        <f t="array" ref="G53">_xlfn.SWITCH(F53,"🟩 Superstar",5,"🟦 Star / All-Star",4,"🟨 Above-average starter",3,"⬛ Contributor / role player",2,"🟥 Bust",1,"⏳ Too early to tell","")</f>
        <v>3</v>
      </c>
    </row>
    <row r="54" spans="1:7" x14ac:dyDescent="0.2">
      <c r="A54" s="1">
        <v>2022</v>
      </c>
      <c r="B54" s="1">
        <v>5</v>
      </c>
      <c r="C54" s="2" t="s">
        <v>27</v>
      </c>
      <c r="D54" s="2" t="s">
        <v>121</v>
      </c>
      <c r="E54" s="2" t="s">
        <v>122</v>
      </c>
      <c r="F54" s="6" t="s">
        <v>63</v>
      </c>
      <c r="G54" cm="1">
        <f t="array" ref="G54">_xlfn.SWITCH(F54,"🟩 Superstar",5,"🟦 Star / All-Star",4,"🟨 Above-average starter",3,"⬛ Contributor / role player",2,"🟥 Bust",1,"⏳ Too early to tell","")</f>
        <v>2</v>
      </c>
    </row>
    <row r="55" spans="1:7" x14ac:dyDescent="0.2">
      <c r="A55" s="1">
        <v>2023</v>
      </c>
      <c r="B55" s="1">
        <v>5</v>
      </c>
      <c r="C55" s="2" t="s">
        <v>27</v>
      </c>
      <c r="D55" s="2" t="s">
        <v>123</v>
      </c>
      <c r="E55" s="2" t="s">
        <v>107</v>
      </c>
      <c r="F55" s="7" t="s">
        <v>21</v>
      </c>
      <c r="G55" cm="1">
        <f t="array" ref="G55">_xlfn.SWITCH(F55,"🟩 Superstar",5,"🟦 Star / All-Star",4,"🟨 Above-average starter",3,"⬛ Contributor / role player",2,"🟥 Bust",1,"⏳ Too early to tell","")</f>
        <v>3</v>
      </c>
    </row>
    <row r="56" spans="1:7" x14ac:dyDescent="0.2">
      <c r="A56" s="1">
        <v>2024</v>
      </c>
      <c r="B56" s="1">
        <v>5</v>
      </c>
      <c r="C56" s="2" t="s">
        <v>27</v>
      </c>
      <c r="D56" s="2" t="s">
        <v>124</v>
      </c>
      <c r="E56" s="2" t="s">
        <v>56</v>
      </c>
      <c r="F56" s="8" t="s">
        <v>37</v>
      </c>
      <c r="G56" t="str" cm="1">
        <f t="array" ref="G56">_xlfn.SWITCH(F56,"🟩 Superstar",5,"🟦 Star / All-Star",4,"🟨 Above-average starter",3,"⬛ Contributor / role player",2,"🟥 Bust",1,"⏳ Too early to tell","")</f>
        <v/>
      </c>
    </row>
    <row r="57" spans="1:7" x14ac:dyDescent="0.2">
      <c r="A57" s="1">
        <v>2025</v>
      </c>
      <c r="B57" s="1">
        <v>5</v>
      </c>
      <c r="C57" s="2" t="s">
        <v>125</v>
      </c>
      <c r="D57" s="2" t="s">
        <v>126</v>
      </c>
      <c r="E57" s="2" t="s">
        <v>67</v>
      </c>
      <c r="F57" s="8" t="s">
        <v>37</v>
      </c>
      <c r="G57" t="str" cm="1">
        <f t="array" ref="G57">_xlfn.SWITCH(F57,"🟩 Superstar",5,"🟦 Star / All-Star",4,"🟨 Above-average starter",3,"⬛ Contributor / role player",2,"🟥 Bust",1,"⏳ Too early to tell","")</f>
        <v/>
      </c>
    </row>
    <row r="58" spans="1:7" x14ac:dyDescent="0.2">
      <c r="A58" s="1">
        <v>2015</v>
      </c>
      <c r="B58" s="1">
        <v>6</v>
      </c>
      <c r="C58" s="2" t="s">
        <v>46</v>
      </c>
      <c r="D58" s="2" t="s">
        <v>127</v>
      </c>
      <c r="E58" s="2" t="s">
        <v>9</v>
      </c>
      <c r="F58" s="6" t="s">
        <v>63</v>
      </c>
      <c r="G58" cm="1">
        <f t="array" ref="G58">_xlfn.SWITCH(F58,"🟩 Superstar",5,"🟦 Star / All-Star",4,"🟨 Above-average starter",3,"⬛ Contributor / role player",2,"🟥 Bust",1,"⏳ Too early to tell","")</f>
        <v>2</v>
      </c>
    </row>
    <row r="59" spans="1:7" x14ac:dyDescent="0.2">
      <c r="A59" s="1">
        <v>2016</v>
      </c>
      <c r="B59" s="1">
        <v>6</v>
      </c>
      <c r="C59" s="2" t="s">
        <v>22</v>
      </c>
      <c r="D59" s="2" t="s">
        <v>128</v>
      </c>
      <c r="E59" s="2" t="s">
        <v>116</v>
      </c>
      <c r="F59" s="7" t="s">
        <v>21</v>
      </c>
      <c r="G59" cm="1">
        <f t="array" ref="G59">_xlfn.SWITCH(F59,"🟩 Superstar",5,"🟦 Star / All-Star",4,"🟨 Above-average starter",3,"⬛ Contributor / role player",2,"🟥 Bust",1,"⏳ Too early to tell","")</f>
        <v>3</v>
      </c>
    </row>
    <row r="60" spans="1:7" x14ac:dyDescent="0.2">
      <c r="A60" s="1">
        <v>2017</v>
      </c>
      <c r="B60" s="1">
        <v>6</v>
      </c>
      <c r="C60" s="2" t="s">
        <v>30</v>
      </c>
      <c r="D60" s="2" t="s">
        <v>129</v>
      </c>
      <c r="E60" s="2" t="s">
        <v>101</v>
      </c>
      <c r="F60" s="6" t="s">
        <v>63</v>
      </c>
      <c r="G60" cm="1">
        <f t="array" ref="G60">_xlfn.SWITCH(F60,"🟩 Superstar",5,"🟦 Star / All-Star",4,"🟨 Above-average starter",3,"⬛ Contributor / role player",2,"🟥 Bust",1,"⏳ Too early to tell","")</f>
        <v>2</v>
      </c>
    </row>
    <row r="61" spans="1:7" x14ac:dyDescent="0.2">
      <c r="A61" s="1">
        <v>2018</v>
      </c>
      <c r="B61" s="1">
        <v>6</v>
      </c>
      <c r="C61" s="2" t="s">
        <v>30</v>
      </c>
      <c r="D61" s="2" t="s">
        <v>130</v>
      </c>
      <c r="E61" s="2" t="s">
        <v>131</v>
      </c>
      <c r="F61" s="5" t="s">
        <v>17</v>
      </c>
      <c r="G61" cm="1">
        <f t="array" ref="G61">_xlfn.SWITCH(F61,"🟩 Superstar",5,"🟦 Star / All-Star",4,"🟨 Above-average starter",3,"⬛ Contributor / role player",2,"🟥 Bust",1,"⏳ Too early to tell","")</f>
        <v>1</v>
      </c>
    </row>
    <row r="62" spans="1:7" x14ac:dyDescent="0.2">
      <c r="A62" s="1">
        <v>2019</v>
      </c>
      <c r="B62" s="1">
        <v>6</v>
      </c>
      <c r="C62" s="2" t="s">
        <v>18</v>
      </c>
      <c r="D62" s="2" t="s">
        <v>132</v>
      </c>
      <c r="E62" s="2" t="s">
        <v>133</v>
      </c>
      <c r="F62" s="5" t="s">
        <v>17</v>
      </c>
      <c r="G62" cm="1">
        <f t="array" ref="G62">_xlfn.SWITCH(F62,"🟩 Superstar",5,"🟦 Star / All-Star",4,"🟨 Above-average starter",3,"⬛ Contributor / role player",2,"🟥 Bust",1,"⏳ Too early to tell","")</f>
        <v>1</v>
      </c>
    </row>
    <row r="63" spans="1:7" x14ac:dyDescent="0.2">
      <c r="A63" s="1">
        <v>2020</v>
      </c>
      <c r="B63" s="1">
        <v>6</v>
      </c>
      <c r="C63" s="2" t="s">
        <v>35</v>
      </c>
      <c r="D63" s="2" t="s">
        <v>134</v>
      </c>
      <c r="E63" s="2" t="s">
        <v>81</v>
      </c>
      <c r="F63" s="7" t="s">
        <v>21</v>
      </c>
      <c r="G63" cm="1">
        <f t="array" ref="G63">_xlfn.SWITCH(F63,"🟩 Superstar",5,"🟦 Star / All-Star",4,"🟨 Above-average starter",3,"⬛ Contributor / role player",2,"🟥 Bust",1,"⏳ Too early to tell","")</f>
        <v>3</v>
      </c>
    </row>
    <row r="64" spans="1:7" x14ac:dyDescent="0.2">
      <c r="A64" s="1">
        <v>2021</v>
      </c>
      <c r="B64" s="1">
        <v>6</v>
      </c>
      <c r="C64" s="2" t="s">
        <v>57</v>
      </c>
      <c r="D64" s="2" t="s">
        <v>135</v>
      </c>
      <c r="E64" s="2" t="s">
        <v>136</v>
      </c>
      <c r="F64" s="7" t="s">
        <v>21</v>
      </c>
      <c r="G64" cm="1">
        <f t="array" ref="G64">_xlfn.SWITCH(F64,"🟩 Superstar",5,"🟦 Star / All-Star",4,"🟨 Above-average starter",3,"⬛ Contributor / role player",2,"🟥 Bust",1,"⏳ Too early to tell","")</f>
        <v>3</v>
      </c>
    </row>
    <row r="65" spans="1:7" x14ac:dyDescent="0.2">
      <c r="A65" s="1">
        <v>2022</v>
      </c>
      <c r="B65" s="1">
        <v>6</v>
      </c>
      <c r="C65" s="2" t="s">
        <v>137</v>
      </c>
      <c r="D65" s="2" t="s">
        <v>138</v>
      </c>
      <c r="E65" s="2" t="s">
        <v>20</v>
      </c>
      <c r="F65" s="7" t="s">
        <v>21</v>
      </c>
      <c r="G65" cm="1">
        <f t="array" ref="G65">_xlfn.SWITCH(F65,"🟩 Superstar",5,"🟦 Star / All-Star",4,"🟨 Above-average starter",3,"⬛ Contributor / role player",2,"🟥 Bust",1,"⏳ Too early to tell","")</f>
        <v>3</v>
      </c>
    </row>
    <row r="66" spans="1:7" x14ac:dyDescent="0.2">
      <c r="A66" s="1">
        <v>2023</v>
      </c>
      <c r="B66" s="1">
        <v>6</v>
      </c>
      <c r="C66" s="2" t="s">
        <v>30</v>
      </c>
      <c r="D66" s="2" t="s">
        <v>139</v>
      </c>
      <c r="E66" s="2" t="s">
        <v>140</v>
      </c>
      <c r="F66" s="7" t="s">
        <v>21</v>
      </c>
      <c r="G66" cm="1">
        <f t="array" ref="G66">_xlfn.SWITCH(F66,"🟩 Superstar",5,"🟦 Star / All-Star",4,"🟨 Above-average starter",3,"⬛ Contributor / role player",2,"🟥 Bust",1,"⏳ Too early to tell","")</f>
        <v>3</v>
      </c>
    </row>
    <row r="67" spans="1:7" x14ac:dyDescent="0.2">
      <c r="A67" s="1">
        <v>2024</v>
      </c>
      <c r="B67" s="1">
        <v>6</v>
      </c>
      <c r="C67" s="2" t="s">
        <v>60</v>
      </c>
      <c r="D67" s="2" t="s">
        <v>141</v>
      </c>
      <c r="E67" s="2" t="s">
        <v>34</v>
      </c>
      <c r="F67" s="8" t="s">
        <v>37</v>
      </c>
      <c r="G67" t="str" cm="1">
        <f t="array" ref="G67">_xlfn.SWITCH(F67,"🟩 Superstar",5,"🟦 Star / All-Star",4,"🟨 Above-average starter",3,"⬛ Contributor / role player",2,"🟥 Bust",1,"⏳ Too early to tell","")</f>
        <v/>
      </c>
    </row>
    <row r="68" spans="1:7" x14ac:dyDescent="0.2">
      <c r="A68" s="1">
        <v>2025</v>
      </c>
      <c r="B68" s="1">
        <v>6</v>
      </c>
      <c r="C68" s="2" t="s">
        <v>64</v>
      </c>
      <c r="D68" s="2" t="s">
        <v>142</v>
      </c>
      <c r="E68" s="2" t="s">
        <v>131</v>
      </c>
      <c r="F68" s="8" t="s">
        <v>37</v>
      </c>
      <c r="G68" t="str" cm="1">
        <f t="array" ref="G68">_xlfn.SWITCH(F68,"🟩 Superstar",5,"🟦 Star / All-Star",4,"🟨 Above-average starter",3,"⬛ Contributor / role player",2,"🟥 Bust",1,"⏳ Too early to tell","")</f>
        <v/>
      </c>
    </row>
    <row r="69" spans="1:7" x14ac:dyDescent="0.2">
      <c r="A69" s="1">
        <v>2015</v>
      </c>
      <c r="B69" s="1">
        <v>7</v>
      </c>
      <c r="C69" s="2" t="s">
        <v>143</v>
      </c>
      <c r="D69" s="2" t="s">
        <v>144</v>
      </c>
      <c r="E69" s="2" t="s">
        <v>145</v>
      </c>
      <c r="F69" s="5" t="s">
        <v>17</v>
      </c>
      <c r="G69" cm="1">
        <f t="array" ref="G69">_xlfn.SWITCH(F69,"🟩 Superstar",5,"🟦 Star / All-Star",4,"🟨 Above-average starter",3,"⬛ Contributor / role player",2,"🟥 Bust",1,"⏳ Too early to tell","")</f>
        <v>1</v>
      </c>
    </row>
    <row r="70" spans="1:7" x14ac:dyDescent="0.2">
      <c r="A70" s="1">
        <v>2016</v>
      </c>
      <c r="B70" s="1">
        <v>7</v>
      </c>
      <c r="C70" s="2" t="s">
        <v>143</v>
      </c>
      <c r="D70" s="2" t="s">
        <v>146</v>
      </c>
      <c r="E70" s="2" t="s">
        <v>9</v>
      </c>
      <c r="F70" s="4" t="s">
        <v>14</v>
      </c>
      <c r="G70" cm="1">
        <f t="array" ref="G70">_xlfn.SWITCH(F70,"🟩 Superstar",5,"🟦 Star / All-Star",4,"🟨 Above-average starter",3,"⬛ Contributor / role player",2,"🟥 Bust",1,"⏳ Too early to tell","")</f>
        <v>4</v>
      </c>
    </row>
    <row r="71" spans="1:7" x14ac:dyDescent="0.2">
      <c r="A71" s="1">
        <v>2017</v>
      </c>
      <c r="B71" s="1">
        <v>7</v>
      </c>
      <c r="C71" s="2" t="s">
        <v>7</v>
      </c>
      <c r="D71" s="2" t="s">
        <v>147</v>
      </c>
      <c r="E71" s="2" t="s">
        <v>20</v>
      </c>
      <c r="F71" s="4" t="s">
        <v>14</v>
      </c>
      <c r="G71" cm="1">
        <f t="array" ref="G71">_xlfn.SWITCH(F71,"🟩 Superstar",5,"🟦 Star / All-Star",4,"🟨 Above-average starter",3,"⬛ Contributor / role player",2,"🟥 Bust",1,"⏳ Too early to tell","")</f>
        <v>4</v>
      </c>
    </row>
    <row r="72" spans="1:7" x14ac:dyDescent="0.2">
      <c r="A72" s="1">
        <v>2018</v>
      </c>
      <c r="B72" s="1">
        <v>7</v>
      </c>
      <c r="C72" s="2" t="s">
        <v>99</v>
      </c>
      <c r="D72" s="2" t="s">
        <v>148</v>
      </c>
      <c r="E72" s="2" t="s">
        <v>24</v>
      </c>
      <c r="F72" s="7" t="s">
        <v>21</v>
      </c>
      <c r="G72" cm="1">
        <f t="array" ref="G72">_xlfn.SWITCH(F72,"🟩 Superstar",5,"🟦 Star / All-Star",4,"🟨 Above-average starter",3,"⬛ Contributor / role player",2,"🟥 Bust",1,"⏳ Too early to tell","")</f>
        <v>3</v>
      </c>
    </row>
    <row r="73" spans="1:7" x14ac:dyDescent="0.2">
      <c r="A73" s="1">
        <v>2019</v>
      </c>
      <c r="B73" s="1">
        <v>7</v>
      </c>
      <c r="C73" s="2" t="s">
        <v>99</v>
      </c>
      <c r="D73" s="2" t="s">
        <v>149</v>
      </c>
      <c r="E73" s="2" t="s">
        <v>150</v>
      </c>
      <c r="F73" s="7" t="s">
        <v>21</v>
      </c>
      <c r="G73" cm="1">
        <f t="array" ref="G73">_xlfn.SWITCH(F73,"🟩 Superstar",5,"🟦 Star / All-Star",4,"🟨 Above-average starter",3,"⬛ Contributor / role player",2,"🟥 Bust",1,"⏳ Too early to tell","")</f>
        <v>3</v>
      </c>
    </row>
    <row r="74" spans="1:7" x14ac:dyDescent="0.2">
      <c r="A74" s="1">
        <v>2020</v>
      </c>
      <c r="B74" s="1">
        <v>7</v>
      </c>
      <c r="C74" s="2" t="s">
        <v>27</v>
      </c>
      <c r="D74" s="2" t="s">
        <v>151</v>
      </c>
      <c r="E74" s="2" t="s">
        <v>34</v>
      </c>
      <c r="F74" s="5" t="s">
        <v>17</v>
      </c>
      <c r="G74" cm="1">
        <f t="array" ref="G74">_xlfn.SWITCH(F74,"🟩 Superstar",5,"🟦 Star / All-Star",4,"🟨 Above-average starter",3,"⬛ Contributor / role player",2,"🟥 Bust",1,"⏳ Too early to tell","")</f>
        <v>1</v>
      </c>
    </row>
    <row r="75" spans="1:7" x14ac:dyDescent="0.2">
      <c r="A75" s="1">
        <v>2021</v>
      </c>
      <c r="B75" s="1">
        <v>7</v>
      </c>
      <c r="C75" s="2" t="s">
        <v>51</v>
      </c>
      <c r="D75" s="2" t="s">
        <v>152</v>
      </c>
      <c r="E75" s="2" t="s">
        <v>56</v>
      </c>
      <c r="F75" s="6" t="s">
        <v>63</v>
      </c>
      <c r="G75" cm="1">
        <f t="array" ref="G75">_xlfn.SWITCH(F75,"🟩 Superstar",5,"🟦 Star / All-Star",4,"🟨 Above-average starter",3,"⬛ Contributor / role player",2,"🟥 Bust",1,"⏳ Too early to tell","")</f>
        <v>2</v>
      </c>
    </row>
    <row r="76" spans="1:7" x14ac:dyDescent="0.2">
      <c r="A76" s="1">
        <v>2022</v>
      </c>
      <c r="B76" s="1">
        <v>7</v>
      </c>
      <c r="C76" s="2" t="s">
        <v>84</v>
      </c>
      <c r="D76" s="2" t="s">
        <v>153</v>
      </c>
      <c r="E76" s="2" t="s">
        <v>9</v>
      </c>
      <c r="F76" s="7" t="s">
        <v>21</v>
      </c>
      <c r="G76" cm="1">
        <f t="array" ref="G76">_xlfn.SWITCH(F76,"🟩 Superstar",5,"🟦 Star / All-Star",4,"🟨 Above-average starter",3,"⬛ Contributor / role player",2,"🟥 Bust",1,"⏳ Too early to tell","")</f>
        <v>3</v>
      </c>
    </row>
    <row r="77" spans="1:7" x14ac:dyDescent="0.2">
      <c r="A77" s="1">
        <v>2023</v>
      </c>
      <c r="B77" s="1">
        <v>7</v>
      </c>
      <c r="C77" s="2" t="s">
        <v>137</v>
      </c>
      <c r="D77" s="2" t="s">
        <v>154</v>
      </c>
      <c r="E77" s="2" t="s">
        <v>34</v>
      </c>
      <c r="F77" s="6" t="s">
        <v>63</v>
      </c>
      <c r="G77" cm="1">
        <f t="array" ref="G77">_xlfn.SWITCH(F77,"🟩 Superstar",5,"🟦 Star / All-Star",4,"🟨 Above-average starter",3,"⬛ Contributor / role player",2,"🟥 Bust",1,"⏳ Too early to tell","")</f>
        <v>2</v>
      </c>
    </row>
    <row r="78" spans="1:7" x14ac:dyDescent="0.2">
      <c r="A78" s="1">
        <v>2024</v>
      </c>
      <c r="B78" s="1">
        <v>7</v>
      </c>
      <c r="C78" s="2" t="s">
        <v>84</v>
      </c>
      <c r="D78" s="2" t="s">
        <v>155</v>
      </c>
      <c r="E78" s="2" t="s">
        <v>109</v>
      </c>
      <c r="F78" s="8" t="s">
        <v>37</v>
      </c>
      <c r="G78" t="str" cm="1">
        <f t="array" ref="G78">_xlfn.SWITCH(F78,"🟩 Superstar",5,"🟦 Star / All-Star",4,"🟨 Above-average starter",3,"⬛ Contributor / role player",2,"🟥 Bust",1,"⏳ Too early to tell","")</f>
        <v/>
      </c>
    </row>
    <row r="79" spans="1:7" x14ac:dyDescent="0.2">
      <c r="A79" s="1">
        <v>2025</v>
      </c>
      <c r="B79" s="1">
        <v>7</v>
      </c>
      <c r="C79" s="2" t="s">
        <v>22</v>
      </c>
      <c r="D79" s="2" t="s">
        <v>156</v>
      </c>
      <c r="E79" s="2" t="s">
        <v>116</v>
      </c>
      <c r="F79" s="8" t="s">
        <v>37</v>
      </c>
      <c r="G79" t="str" cm="1">
        <f t="array" ref="G79">_xlfn.SWITCH(F79,"🟩 Superstar",5,"🟦 Star / All-Star",4,"🟨 Above-average starter",3,"⬛ Contributor / role player",2,"🟥 Bust",1,"⏳ Too early to tell","")</f>
        <v/>
      </c>
    </row>
    <row r="80" spans="1:7" x14ac:dyDescent="0.2">
      <c r="A80" s="1">
        <v>2015</v>
      </c>
      <c r="B80" s="1">
        <v>8</v>
      </c>
      <c r="C80" s="2" t="s">
        <v>27</v>
      </c>
      <c r="D80" s="2" t="s">
        <v>157</v>
      </c>
      <c r="E80" s="2" t="s">
        <v>20</v>
      </c>
      <c r="F80" s="5" t="s">
        <v>17</v>
      </c>
      <c r="G80" cm="1">
        <f t="array" ref="G80">_xlfn.SWITCH(F80,"🟩 Superstar",5,"🟦 Star / All-Star",4,"🟨 Above-average starter",3,"⬛ Contributor / role player",2,"🟥 Bust",1,"⏳ Too early to tell","")</f>
        <v>1</v>
      </c>
    </row>
    <row r="81" spans="1:7" x14ac:dyDescent="0.2">
      <c r="A81" s="1">
        <v>2016</v>
      </c>
      <c r="B81" s="1">
        <v>8</v>
      </c>
      <c r="C81" s="2" t="s">
        <v>46</v>
      </c>
      <c r="D81" s="2" t="s">
        <v>158</v>
      </c>
      <c r="E81" s="2" t="s">
        <v>16</v>
      </c>
      <c r="F81" s="5" t="s">
        <v>17</v>
      </c>
      <c r="G81" cm="1">
        <f t="array" ref="G81">_xlfn.SWITCH(F81,"🟩 Superstar",5,"🟦 Star / All-Star",4,"🟨 Above-average starter",3,"⬛ Contributor / role player",2,"🟥 Bust",1,"⏳ Too early to tell","")</f>
        <v>1</v>
      </c>
    </row>
    <row r="82" spans="1:7" x14ac:dyDescent="0.2">
      <c r="A82" s="1">
        <v>2017</v>
      </c>
      <c r="B82" s="1">
        <v>8</v>
      </c>
      <c r="C82" s="2" t="s">
        <v>75</v>
      </c>
      <c r="D82" s="2" t="s">
        <v>159</v>
      </c>
      <c r="E82" s="2" t="s">
        <v>34</v>
      </c>
      <c r="F82" s="5" t="s">
        <v>17</v>
      </c>
      <c r="G82" cm="1">
        <f t="array" ref="G82">_xlfn.SWITCH(F82,"🟩 Superstar",5,"🟦 Star / All-Star",4,"🟨 Above-average starter",3,"⬛ Contributor / role player",2,"🟥 Bust",1,"⏳ Too early to tell","")</f>
        <v>1</v>
      </c>
    </row>
    <row r="83" spans="1:7" x14ac:dyDescent="0.2">
      <c r="A83" s="1">
        <v>2018</v>
      </c>
      <c r="B83" s="1">
        <v>8</v>
      </c>
      <c r="C83" s="2" t="s">
        <v>79</v>
      </c>
      <c r="D83" s="2" t="s">
        <v>160</v>
      </c>
      <c r="E83" s="2" t="s">
        <v>62</v>
      </c>
      <c r="F83" s="7" t="s">
        <v>21</v>
      </c>
      <c r="G83" cm="1">
        <f t="array" ref="G83">_xlfn.SWITCH(F83,"🟩 Superstar",5,"🟦 Star / All-Star",4,"🟨 Above-average starter",3,"⬛ Contributor / role player",2,"🟥 Bust",1,"⏳ Too early to tell","")</f>
        <v>3</v>
      </c>
    </row>
    <row r="84" spans="1:7" x14ac:dyDescent="0.2">
      <c r="A84" s="1">
        <v>2019</v>
      </c>
      <c r="B84" s="1">
        <v>8</v>
      </c>
      <c r="C84" s="2" t="s">
        <v>35</v>
      </c>
      <c r="D84" s="2" t="s">
        <v>161</v>
      </c>
      <c r="E84" s="2" t="s">
        <v>131</v>
      </c>
      <c r="F84" s="6" t="s">
        <v>63</v>
      </c>
      <c r="G84" cm="1">
        <f t="array" ref="G84">_xlfn.SWITCH(F84,"🟩 Superstar",5,"🟦 Star / All-Star",4,"🟨 Above-average starter",3,"⬛ Contributor / role player",2,"🟥 Bust",1,"⏳ Too early to tell","")</f>
        <v>2</v>
      </c>
    </row>
    <row r="85" spans="1:7" x14ac:dyDescent="0.2">
      <c r="A85" s="1">
        <v>2020</v>
      </c>
      <c r="B85" s="1">
        <v>8</v>
      </c>
      <c r="C85" s="2" t="s">
        <v>75</v>
      </c>
      <c r="D85" s="2" t="s">
        <v>162</v>
      </c>
      <c r="E85" s="2" t="s">
        <v>163</v>
      </c>
      <c r="F85" s="6" t="s">
        <v>63</v>
      </c>
      <c r="G85" cm="1">
        <f t="array" ref="G85">_xlfn.SWITCH(F85,"🟩 Superstar",5,"🟦 Star / All-Star",4,"🟨 Above-average starter",3,"⬛ Contributor / role player",2,"🟥 Bust",1,"⏳ Too early to tell","")</f>
        <v>2</v>
      </c>
    </row>
    <row r="86" spans="1:7" x14ac:dyDescent="0.2">
      <c r="A86" s="1">
        <v>2021</v>
      </c>
      <c r="B86" s="1">
        <v>8</v>
      </c>
      <c r="C86" s="2" t="s">
        <v>30</v>
      </c>
      <c r="D86" s="2" t="s">
        <v>164</v>
      </c>
      <c r="E86" s="2" t="s">
        <v>165</v>
      </c>
      <c r="F86" s="4" t="s">
        <v>14</v>
      </c>
      <c r="G86" cm="1">
        <f t="array" ref="G86">_xlfn.SWITCH(F86,"🟩 Superstar",5,"🟦 Star / All-Star",4,"🟨 Above-average starter",3,"⬛ Contributor / role player",2,"🟥 Bust",1,"⏳ Too early to tell","")</f>
        <v>4</v>
      </c>
    </row>
    <row r="87" spans="1:7" x14ac:dyDescent="0.2">
      <c r="A87" s="1">
        <v>2022</v>
      </c>
      <c r="B87" s="1">
        <v>8</v>
      </c>
      <c r="C87" s="2" t="s">
        <v>22</v>
      </c>
      <c r="D87" s="2" t="s">
        <v>166</v>
      </c>
      <c r="E87" s="2" t="s">
        <v>136</v>
      </c>
      <c r="F87" s="7" t="s">
        <v>21</v>
      </c>
      <c r="G87" cm="1">
        <f t="array" ref="G87">_xlfn.SWITCH(F87,"🟩 Superstar",5,"🟦 Star / All-Star",4,"🟨 Above-average starter",3,"⬛ Contributor / role player",2,"🟥 Bust",1,"⏳ Too early to tell","")</f>
        <v>3</v>
      </c>
    </row>
    <row r="88" spans="1:7" x14ac:dyDescent="0.2">
      <c r="A88" s="1">
        <v>2023</v>
      </c>
      <c r="B88" s="1">
        <v>8</v>
      </c>
      <c r="C88" s="2" t="s">
        <v>64</v>
      </c>
      <c r="D88" s="2" t="s">
        <v>167</v>
      </c>
      <c r="E88" s="2" t="s">
        <v>168</v>
      </c>
      <c r="F88" s="6" t="s">
        <v>63</v>
      </c>
      <c r="G88" cm="1">
        <f t="array" ref="G88">_xlfn.SWITCH(F88,"🟩 Superstar",5,"🟦 Star / All-Star",4,"🟨 Above-average starter",3,"⬛ Contributor / role player",2,"🟥 Bust",1,"⏳ Too early to tell","")</f>
        <v>2</v>
      </c>
    </row>
    <row r="89" spans="1:7" x14ac:dyDescent="0.2">
      <c r="A89" s="1">
        <v>2024</v>
      </c>
      <c r="B89" s="1">
        <v>8</v>
      </c>
      <c r="C89" s="2" t="s">
        <v>32</v>
      </c>
      <c r="D89" s="2" t="s">
        <v>169</v>
      </c>
      <c r="E89" s="2" t="s">
        <v>9</v>
      </c>
      <c r="F89" s="8" t="s">
        <v>37</v>
      </c>
      <c r="G89" t="str" cm="1">
        <f t="array" ref="G89">_xlfn.SWITCH(F89,"🟩 Superstar",5,"🟦 Star / All-Star",4,"🟨 Above-average starter",3,"⬛ Contributor / role player",2,"🟥 Bust",1,"⏳ Too early to tell","")</f>
        <v/>
      </c>
    </row>
    <row r="90" spans="1:7" x14ac:dyDescent="0.2">
      <c r="A90" s="1">
        <v>2025</v>
      </c>
      <c r="B90" s="1">
        <v>8</v>
      </c>
      <c r="C90" s="2" t="s">
        <v>170</v>
      </c>
      <c r="D90" s="2" t="s">
        <v>171</v>
      </c>
      <c r="E90" s="2" t="s">
        <v>172</v>
      </c>
      <c r="F90" s="8" t="s">
        <v>37</v>
      </c>
      <c r="G90" t="str" cm="1">
        <f t="array" ref="G90">_xlfn.SWITCH(F90,"🟩 Superstar",5,"🟦 Star / All-Star",4,"🟨 Above-average starter",3,"⬛ Contributor / role player",2,"🟥 Bust",1,"⏳ Too early to tell","")</f>
        <v/>
      </c>
    </row>
    <row r="91" spans="1:7" x14ac:dyDescent="0.2">
      <c r="A91" s="1">
        <v>2015</v>
      </c>
      <c r="B91" s="1">
        <v>9</v>
      </c>
      <c r="C91" s="2" t="s">
        <v>60</v>
      </c>
      <c r="D91" s="2" t="s">
        <v>173</v>
      </c>
      <c r="E91" s="2" t="s">
        <v>174</v>
      </c>
      <c r="F91" s="6" t="s">
        <v>63</v>
      </c>
      <c r="G91" cm="1">
        <f t="array" ref="G91">_xlfn.SWITCH(F91,"🟩 Superstar",5,"🟦 Star / All-Star",4,"🟨 Above-average starter",3,"⬛ Contributor / role player",2,"🟥 Bust",1,"⏳ Too early to tell","")</f>
        <v>2</v>
      </c>
    </row>
    <row r="92" spans="1:7" x14ac:dyDescent="0.2">
      <c r="A92" s="1">
        <v>2016</v>
      </c>
      <c r="B92" s="1">
        <v>9</v>
      </c>
      <c r="C92" s="2" t="s">
        <v>102</v>
      </c>
      <c r="D92" s="2" t="s">
        <v>175</v>
      </c>
      <c r="E92" s="2" t="s">
        <v>176</v>
      </c>
      <c r="F92" s="7" t="s">
        <v>21</v>
      </c>
      <c r="G92" cm="1">
        <f t="array" ref="G92">_xlfn.SWITCH(F92,"🟩 Superstar",5,"🟦 Star / All-Star",4,"🟨 Above-average starter",3,"⬛ Contributor / role player",2,"🟥 Bust",1,"⏳ Too early to tell","")</f>
        <v>3</v>
      </c>
    </row>
    <row r="93" spans="1:7" x14ac:dyDescent="0.2">
      <c r="A93" s="1">
        <v>2017</v>
      </c>
      <c r="B93" s="1">
        <v>9</v>
      </c>
      <c r="C93" s="2" t="s">
        <v>38</v>
      </c>
      <c r="D93" s="2" t="s">
        <v>177</v>
      </c>
      <c r="E93" s="2" t="s">
        <v>178</v>
      </c>
      <c r="F93" s="5" t="s">
        <v>17</v>
      </c>
      <c r="G93" cm="1">
        <f t="array" ref="G93">_xlfn.SWITCH(F93,"🟩 Superstar",5,"🟦 Star / All-Star",4,"🟨 Above-average starter",3,"⬛ Contributor / role player",2,"🟥 Bust",1,"⏳ Too early to tell","")</f>
        <v>1</v>
      </c>
    </row>
    <row r="94" spans="1:7" x14ac:dyDescent="0.2">
      <c r="A94" s="1">
        <v>2018</v>
      </c>
      <c r="B94" s="1">
        <v>9</v>
      </c>
      <c r="C94" s="2" t="s">
        <v>75</v>
      </c>
      <c r="D94" s="2" t="s">
        <v>179</v>
      </c>
      <c r="E94" s="2" t="s">
        <v>9</v>
      </c>
      <c r="F94" s="5" t="s">
        <v>17</v>
      </c>
      <c r="G94" cm="1">
        <f t="array" ref="G94">_xlfn.SWITCH(F94,"🟩 Superstar",5,"🟦 Star / All-Star",4,"🟨 Above-average starter",3,"⬛ Contributor / role player",2,"🟥 Bust",1,"⏳ Too early to tell","")</f>
        <v>1</v>
      </c>
    </row>
    <row r="95" spans="1:7" x14ac:dyDescent="0.2">
      <c r="A95" s="1">
        <v>2019</v>
      </c>
      <c r="B95" s="1">
        <v>9</v>
      </c>
      <c r="C95" s="2" t="s">
        <v>64</v>
      </c>
      <c r="D95" s="2" t="s">
        <v>180</v>
      </c>
      <c r="E95" s="2" t="s">
        <v>59</v>
      </c>
      <c r="F95" s="6" t="s">
        <v>63</v>
      </c>
      <c r="G95" cm="1">
        <f t="array" ref="G95">_xlfn.SWITCH(F95,"🟩 Superstar",5,"🟦 Star / All-Star",4,"🟨 Above-average starter",3,"⬛ Contributor / role player",2,"🟥 Bust",1,"⏳ Too early to tell","")</f>
        <v>2</v>
      </c>
    </row>
    <row r="96" spans="1:7" x14ac:dyDescent="0.2">
      <c r="A96" s="1">
        <v>2020</v>
      </c>
      <c r="B96" s="1">
        <v>9</v>
      </c>
      <c r="C96" s="2" t="s">
        <v>64</v>
      </c>
      <c r="D96" s="2" t="s">
        <v>181</v>
      </c>
      <c r="E96" s="2" t="s">
        <v>182</v>
      </c>
      <c r="F96" s="4" t="s">
        <v>14</v>
      </c>
      <c r="G96" cm="1">
        <f t="array" ref="G96">_xlfn.SWITCH(F96,"🟩 Superstar",5,"🟦 Star / All-Star",4,"🟨 Above-average starter",3,"⬛ Contributor / role player",2,"🟥 Bust",1,"⏳ Too early to tell","")</f>
        <v>4</v>
      </c>
    </row>
    <row r="97" spans="1:7" x14ac:dyDescent="0.2">
      <c r="A97" s="1">
        <v>2021</v>
      </c>
      <c r="B97" s="1">
        <v>9</v>
      </c>
      <c r="C97" s="2" t="s">
        <v>46</v>
      </c>
      <c r="D97" s="2" t="s">
        <v>183</v>
      </c>
      <c r="E97" s="2" t="s">
        <v>88</v>
      </c>
      <c r="F97" s="6" t="s">
        <v>63</v>
      </c>
      <c r="G97" cm="1">
        <f t="array" ref="G97">_xlfn.SWITCH(F97,"🟩 Superstar",5,"🟦 Star / All-Star",4,"🟨 Above-average starter",3,"⬛ Contributor / role player",2,"🟥 Bust",1,"⏳ Too early to tell","")</f>
        <v>2</v>
      </c>
    </row>
    <row r="98" spans="1:7" x14ac:dyDescent="0.2">
      <c r="A98" s="1">
        <v>2022</v>
      </c>
      <c r="B98" s="1">
        <v>9</v>
      </c>
      <c r="C98" s="2" t="s">
        <v>32</v>
      </c>
      <c r="D98" s="2" t="s">
        <v>184</v>
      </c>
      <c r="E98" s="2" t="s">
        <v>88</v>
      </c>
      <c r="F98" s="6" t="s">
        <v>63</v>
      </c>
      <c r="G98" cm="1">
        <f t="array" ref="G98">_xlfn.SWITCH(F98,"🟩 Superstar",5,"🟦 Star / All-Star",4,"🟨 Above-average starter",3,"⬛ Contributor / role player",2,"🟥 Bust",1,"⏳ Too early to tell","")</f>
        <v>2</v>
      </c>
    </row>
    <row r="99" spans="1:7" x14ac:dyDescent="0.2">
      <c r="A99" s="1">
        <v>2023</v>
      </c>
      <c r="B99" s="1">
        <v>9</v>
      </c>
      <c r="C99" s="2" t="s">
        <v>125</v>
      </c>
      <c r="D99" s="2" t="s">
        <v>185</v>
      </c>
      <c r="E99" s="2" t="s">
        <v>186</v>
      </c>
      <c r="F99" s="6" t="s">
        <v>63</v>
      </c>
      <c r="G99" cm="1">
        <f t="array" ref="G99">_xlfn.SWITCH(F99,"🟩 Superstar",5,"🟦 Star / All-Star",4,"🟨 Above-average starter",3,"⬛ Contributor / role player",2,"🟥 Bust",1,"⏳ Too early to tell","")</f>
        <v>2</v>
      </c>
    </row>
    <row r="100" spans="1:7" x14ac:dyDescent="0.2">
      <c r="A100" s="1">
        <v>2024</v>
      </c>
      <c r="B100" s="1">
        <v>9</v>
      </c>
      <c r="C100" s="2" t="s">
        <v>48</v>
      </c>
      <c r="D100" s="2" t="s">
        <v>187</v>
      </c>
      <c r="E100" s="2" t="s">
        <v>122</v>
      </c>
      <c r="F100" s="8" t="s">
        <v>37</v>
      </c>
      <c r="G100" t="str" cm="1">
        <f t="array" ref="G100">_xlfn.SWITCH(F100,"🟩 Superstar",5,"🟦 Star / All-Star",4,"🟨 Above-average starter",3,"⬛ Contributor / role player",2,"🟥 Bust",1,"⏳ Too early to tell","")</f>
        <v/>
      </c>
    </row>
    <row r="101" spans="1:7" x14ac:dyDescent="0.2">
      <c r="A101" s="1">
        <v>2025</v>
      </c>
      <c r="B101" s="1">
        <v>9</v>
      </c>
      <c r="C101" s="2" t="s">
        <v>102</v>
      </c>
      <c r="D101" s="2" t="s">
        <v>188</v>
      </c>
      <c r="E101" s="2" t="s">
        <v>189</v>
      </c>
      <c r="F101" s="8" t="s">
        <v>37</v>
      </c>
      <c r="G101" t="str" cm="1">
        <f t="array" ref="G101">_xlfn.SWITCH(F101,"🟩 Superstar",5,"🟦 Star / All-Star",4,"🟨 Above-average starter",3,"⬛ Contributor / role player",2,"🟥 Bust",1,"⏳ Too early to tell","")</f>
        <v/>
      </c>
    </row>
    <row r="102" spans="1:7" x14ac:dyDescent="0.2">
      <c r="A102" s="1">
        <v>2015</v>
      </c>
      <c r="B102" s="1">
        <v>10</v>
      </c>
      <c r="C102" s="2" t="s">
        <v>190</v>
      </c>
      <c r="D102" s="2" t="s">
        <v>191</v>
      </c>
      <c r="E102" s="2" t="s">
        <v>24</v>
      </c>
      <c r="F102" s="5" t="s">
        <v>17</v>
      </c>
      <c r="G102" cm="1">
        <f t="array" ref="G102">_xlfn.SWITCH(F102,"🟩 Superstar",5,"🟦 Star / All-Star",4,"🟨 Above-average starter",3,"⬛ Contributor / role player",2,"🟥 Bust",1,"⏳ Too early to tell","")</f>
        <v>1</v>
      </c>
    </row>
    <row r="103" spans="1:7" x14ac:dyDescent="0.2">
      <c r="A103" s="1">
        <v>2016</v>
      </c>
      <c r="B103" s="1">
        <v>10</v>
      </c>
      <c r="C103" s="2" t="s">
        <v>192</v>
      </c>
      <c r="D103" s="2" t="s">
        <v>193</v>
      </c>
      <c r="E103" s="2" t="s">
        <v>194</v>
      </c>
      <c r="F103" s="5" t="s">
        <v>17</v>
      </c>
      <c r="G103" cm="1">
        <f t="array" ref="G103">_xlfn.SWITCH(F103,"🟩 Superstar",5,"🟦 Star / All-Star",4,"🟨 Above-average starter",3,"⬛ Contributor / role player",2,"🟥 Bust",1,"⏳ Too early to tell","")</f>
        <v>1</v>
      </c>
    </row>
    <row r="104" spans="1:7" x14ac:dyDescent="0.2">
      <c r="A104" s="1">
        <v>2017</v>
      </c>
      <c r="B104" s="1">
        <v>10</v>
      </c>
      <c r="C104" s="2" t="s">
        <v>46</v>
      </c>
      <c r="D104" s="2" t="s">
        <v>195</v>
      </c>
      <c r="E104" s="2" t="s">
        <v>59</v>
      </c>
      <c r="F104" s="6" t="s">
        <v>63</v>
      </c>
      <c r="G104" cm="1">
        <f t="array" ref="G104">_xlfn.SWITCH(F104,"🟩 Superstar",5,"🟦 Star / All-Star",4,"🟨 Above-average starter",3,"⬛ Contributor / role player",2,"🟥 Bust",1,"⏳ Too early to tell","")</f>
        <v>2</v>
      </c>
    </row>
    <row r="105" spans="1:7" x14ac:dyDescent="0.2">
      <c r="A105" s="1">
        <v>2018</v>
      </c>
      <c r="B105" s="1">
        <v>10</v>
      </c>
      <c r="C105" s="2" t="s">
        <v>11</v>
      </c>
      <c r="D105" s="2" t="s">
        <v>196</v>
      </c>
      <c r="E105" s="2" t="s">
        <v>197</v>
      </c>
      <c r="F105" s="4" t="s">
        <v>14</v>
      </c>
      <c r="G105" cm="1">
        <f t="array" ref="G105">_xlfn.SWITCH(F105,"🟩 Superstar",5,"🟦 Star / All-Star",4,"🟨 Above-average starter",3,"⬛ Contributor / role player",2,"🟥 Bust",1,"⏳ Too early to tell","")</f>
        <v>4</v>
      </c>
    </row>
    <row r="106" spans="1:7" x14ac:dyDescent="0.2">
      <c r="A106" s="1">
        <v>2019</v>
      </c>
      <c r="B106" s="1">
        <v>10</v>
      </c>
      <c r="C106" s="2" t="s">
        <v>35</v>
      </c>
      <c r="D106" s="2" t="s">
        <v>198</v>
      </c>
      <c r="E106" s="2" t="s">
        <v>24</v>
      </c>
      <c r="F106" s="5" t="s">
        <v>17</v>
      </c>
      <c r="G106" cm="1">
        <f t="array" ref="G106">_xlfn.SWITCH(F106,"🟩 Superstar",5,"🟦 Star / All-Star",4,"🟨 Above-average starter",3,"⬛ Contributor / role player",2,"🟥 Bust",1,"⏳ Too early to tell","")</f>
        <v>1</v>
      </c>
    </row>
    <row r="107" spans="1:7" x14ac:dyDescent="0.2">
      <c r="A107" s="1">
        <v>2020</v>
      </c>
      <c r="B107" s="1">
        <v>10</v>
      </c>
      <c r="C107" s="2" t="s">
        <v>18</v>
      </c>
      <c r="D107" s="2" t="s">
        <v>199</v>
      </c>
      <c r="E107" s="2" t="s">
        <v>200</v>
      </c>
      <c r="F107" s="6" t="s">
        <v>63</v>
      </c>
      <c r="G107" cm="1">
        <f t="array" ref="G107">_xlfn.SWITCH(F107,"🟩 Superstar",5,"🟦 Star / All-Star",4,"🟨 Above-average starter",3,"⬛ Contributor / role player",2,"🟥 Bust",1,"⏳ Too early to tell","")</f>
        <v>2</v>
      </c>
    </row>
    <row r="108" spans="1:7" x14ac:dyDescent="0.2">
      <c r="A108" s="1">
        <v>2021</v>
      </c>
      <c r="B108" s="1">
        <v>10</v>
      </c>
      <c r="C108" s="2" t="s">
        <v>22</v>
      </c>
      <c r="D108" s="2" t="s">
        <v>201</v>
      </c>
      <c r="E108" s="2" t="s">
        <v>202</v>
      </c>
      <c r="F108" s="6" t="s">
        <v>63</v>
      </c>
      <c r="G108" cm="1">
        <f t="array" ref="G108">_xlfn.SWITCH(F108,"🟩 Superstar",5,"🟦 Star / All-Star",4,"🟨 Above-average starter",3,"⬛ Contributor / role player",2,"🟥 Bust",1,"⏳ Too early to tell","")</f>
        <v>2</v>
      </c>
    </row>
    <row r="109" spans="1:7" x14ac:dyDescent="0.2">
      <c r="A109" s="1">
        <v>2022</v>
      </c>
      <c r="B109" s="1">
        <v>10</v>
      </c>
      <c r="C109" s="2" t="s">
        <v>64</v>
      </c>
      <c r="D109" s="2" t="s">
        <v>203</v>
      </c>
      <c r="E109" s="2" t="s">
        <v>174</v>
      </c>
      <c r="F109" s="5" t="s">
        <v>17</v>
      </c>
      <c r="G109" cm="1">
        <f t="array" ref="G109">_xlfn.SWITCH(F109,"🟩 Superstar",5,"🟦 Star / All-Star",4,"🟨 Above-average starter",3,"⬛ Contributor / role player",2,"🟥 Bust",1,"⏳ Too early to tell","")</f>
        <v>1</v>
      </c>
    </row>
    <row r="110" spans="1:7" x14ac:dyDescent="0.2">
      <c r="A110" s="1">
        <v>2023</v>
      </c>
      <c r="B110" s="1">
        <v>10</v>
      </c>
      <c r="C110" s="2" t="s">
        <v>38</v>
      </c>
      <c r="D110" s="2" t="s">
        <v>204</v>
      </c>
      <c r="E110" s="2" t="s">
        <v>9</v>
      </c>
      <c r="F110" s="7" t="s">
        <v>21</v>
      </c>
      <c r="G110" cm="1">
        <f t="array" ref="G110">_xlfn.SWITCH(F110,"🟩 Superstar",5,"🟦 Star / All-Star",4,"🟨 Above-average starter",3,"⬛ Contributor / role player",2,"🟥 Bust",1,"⏳ Too early to tell","")</f>
        <v>3</v>
      </c>
    </row>
    <row r="111" spans="1:7" x14ac:dyDescent="0.2">
      <c r="A111" s="1">
        <v>2024</v>
      </c>
      <c r="B111" s="1">
        <v>10</v>
      </c>
      <c r="C111" s="2" t="s">
        <v>125</v>
      </c>
      <c r="D111" s="2" t="s">
        <v>205</v>
      </c>
      <c r="E111" s="2" t="s">
        <v>206</v>
      </c>
      <c r="F111" s="8" t="s">
        <v>37</v>
      </c>
      <c r="G111" t="str" cm="1">
        <f t="array" ref="G111">_xlfn.SWITCH(F111,"🟩 Superstar",5,"🟦 Star / All-Star",4,"🟨 Above-average starter",3,"⬛ Contributor / role player",2,"🟥 Bust",1,"⏳ Too early to tell","")</f>
        <v/>
      </c>
    </row>
    <row r="112" spans="1:7" x14ac:dyDescent="0.2">
      <c r="A112" s="1">
        <v>2025</v>
      </c>
      <c r="B112" s="1">
        <v>10</v>
      </c>
      <c r="C112" s="2" t="s">
        <v>54</v>
      </c>
      <c r="D112" s="2" t="s">
        <v>207</v>
      </c>
      <c r="E112" s="2" t="s">
        <v>24</v>
      </c>
      <c r="F112" s="8" t="s">
        <v>37</v>
      </c>
      <c r="G112" t="str" cm="1">
        <f t="array" ref="G112">_xlfn.SWITCH(F112,"🟩 Superstar",5,"🟦 Star / All-Star",4,"🟨 Above-average starter",3,"⬛ Contributor / role player",2,"🟥 Bust",1,"⏳ Too early to tell","")</f>
        <v/>
      </c>
    </row>
    <row r="113" spans="1:7" x14ac:dyDescent="0.2">
      <c r="A113" s="1">
        <v>2015</v>
      </c>
      <c r="B113" s="1">
        <v>11</v>
      </c>
      <c r="C113" s="2" t="s">
        <v>137</v>
      </c>
      <c r="D113" s="2" t="s">
        <v>208</v>
      </c>
      <c r="E113" s="2" t="s">
        <v>131</v>
      </c>
      <c r="F113" s="7" t="s">
        <v>21</v>
      </c>
      <c r="G113" cm="1">
        <f t="array" ref="G113">_xlfn.SWITCH(F113,"🟩 Superstar",5,"🟦 Star / All-Star",4,"🟨 Above-average starter",3,"⬛ Contributor / role player",2,"🟥 Bust",1,"⏳ Too early to tell","")</f>
        <v>3</v>
      </c>
    </row>
    <row r="114" spans="1:7" x14ac:dyDescent="0.2">
      <c r="A114" s="1">
        <v>2016</v>
      </c>
      <c r="B114" s="1">
        <v>11</v>
      </c>
      <c r="C114" s="2" t="s">
        <v>30</v>
      </c>
      <c r="D114" s="2" t="s">
        <v>209</v>
      </c>
      <c r="E114" s="2" t="s">
        <v>59</v>
      </c>
      <c r="F114" s="4" t="s">
        <v>14</v>
      </c>
      <c r="G114" cm="1">
        <f t="array" ref="G114">_xlfn.SWITCH(F114,"🟩 Superstar",5,"🟦 Star / All-Star",4,"🟨 Above-average starter",3,"⬛ Contributor / role player",2,"🟥 Bust",1,"⏳ Too early to tell","")</f>
        <v>4</v>
      </c>
    </row>
    <row r="115" spans="1:7" x14ac:dyDescent="0.2">
      <c r="A115" s="1">
        <v>2017</v>
      </c>
      <c r="B115" s="1">
        <v>11</v>
      </c>
      <c r="C115" s="2" t="s">
        <v>60</v>
      </c>
      <c r="D115" s="2" t="s">
        <v>210</v>
      </c>
      <c r="E115" s="2" t="s">
        <v>9</v>
      </c>
      <c r="F115" s="6" t="s">
        <v>63</v>
      </c>
      <c r="G115" cm="1">
        <f t="array" ref="G115">_xlfn.SWITCH(F115,"🟩 Superstar",5,"🟦 Star / All-Star",4,"🟨 Above-average starter",3,"⬛ Contributor / role player",2,"🟥 Bust",1,"⏳ Too early to tell","")</f>
        <v>2</v>
      </c>
    </row>
    <row r="116" spans="1:7" x14ac:dyDescent="0.2">
      <c r="A116" s="1">
        <v>2018</v>
      </c>
      <c r="B116" s="1">
        <v>11</v>
      </c>
      <c r="C116" s="2" t="s">
        <v>60</v>
      </c>
      <c r="D116" s="2" t="s">
        <v>211</v>
      </c>
      <c r="E116" s="2" t="s">
        <v>9</v>
      </c>
      <c r="F116" s="3" t="s">
        <v>10</v>
      </c>
      <c r="G116" cm="1">
        <f t="array" ref="G116">_xlfn.SWITCH(F116,"🟩 Superstar",5,"🟦 Star / All-Star",4,"🟨 Above-average starter",3,"⬛ Contributor / role player",2,"🟥 Bust",1,"⏳ Too early to tell","")</f>
        <v>5</v>
      </c>
    </row>
    <row r="117" spans="1:7" x14ac:dyDescent="0.2">
      <c r="A117" s="1">
        <v>2019</v>
      </c>
      <c r="B117" s="1">
        <v>11</v>
      </c>
      <c r="C117" s="2" t="s">
        <v>7</v>
      </c>
      <c r="D117" s="2" t="s">
        <v>212</v>
      </c>
      <c r="E117" s="2" t="s">
        <v>150</v>
      </c>
      <c r="F117" s="7" t="s">
        <v>21</v>
      </c>
      <c r="G117" cm="1">
        <f t="array" ref="G117">_xlfn.SWITCH(F117,"🟩 Superstar",5,"🟦 Star / All-Star",4,"🟨 Above-average starter",3,"⬛ Contributor / role player",2,"🟥 Bust",1,"⏳ Too early to tell","")</f>
        <v>3</v>
      </c>
    </row>
    <row r="118" spans="1:7" x14ac:dyDescent="0.2">
      <c r="A118" s="1">
        <v>2020</v>
      </c>
      <c r="B118" s="1">
        <v>11</v>
      </c>
      <c r="C118" s="2" t="s">
        <v>32</v>
      </c>
      <c r="D118" s="2" t="s">
        <v>213</v>
      </c>
      <c r="E118" s="2" t="s">
        <v>101</v>
      </c>
      <c r="F118" s="7" t="s">
        <v>21</v>
      </c>
      <c r="G118" cm="1">
        <f t="array" ref="G118">_xlfn.SWITCH(F118,"🟩 Superstar",5,"🟦 Star / All-Star",4,"🟨 Above-average starter",3,"⬛ Contributor / role player",2,"🟥 Bust",1,"⏳ Too early to tell","")</f>
        <v>3</v>
      </c>
    </row>
    <row r="119" spans="1:7" x14ac:dyDescent="0.2">
      <c r="A119" s="1">
        <v>2021</v>
      </c>
      <c r="B119" s="1">
        <v>11</v>
      </c>
      <c r="C119" s="2" t="s">
        <v>60</v>
      </c>
      <c r="D119" s="2" t="s">
        <v>214</v>
      </c>
      <c r="E119" s="2" t="s">
        <v>109</v>
      </c>
      <c r="F119" s="5" t="s">
        <v>17</v>
      </c>
      <c r="G119" cm="1">
        <f t="array" ref="G119">_xlfn.SWITCH(F119,"🟩 Superstar",5,"🟦 Star / All-Star",4,"🟨 Above-average starter",3,"⬛ Contributor / role player",2,"🟥 Bust",1,"⏳ Too early to tell","")</f>
        <v>1</v>
      </c>
    </row>
    <row r="120" spans="1:7" x14ac:dyDescent="0.2">
      <c r="A120" s="1">
        <v>2022</v>
      </c>
      <c r="B120" s="1">
        <v>11</v>
      </c>
      <c r="C120" s="2" t="s">
        <v>75</v>
      </c>
      <c r="D120" s="2" t="s">
        <v>215</v>
      </c>
      <c r="E120" s="2" t="s">
        <v>216</v>
      </c>
      <c r="F120" s="6" t="s">
        <v>63</v>
      </c>
      <c r="G120" cm="1">
        <f t="array" ref="G120">_xlfn.SWITCH(F120,"🟩 Superstar",5,"🟦 Star / All-Star",4,"🟨 Above-average starter",3,"⬛ Contributor / role player",2,"🟥 Bust",1,"⏳ Too early to tell","")</f>
        <v>2</v>
      </c>
    </row>
    <row r="121" spans="1:7" x14ac:dyDescent="0.2">
      <c r="A121" s="1">
        <v>2023</v>
      </c>
      <c r="B121" s="1">
        <v>11</v>
      </c>
      <c r="C121" s="2" t="s">
        <v>30</v>
      </c>
      <c r="D121" s="2" t="s">
        <v>217</v>
      </c>
      <c r="E121" s="2" t="s">
        <v>165</v>
      </c>
      <c r="F121" s="5" t="s">
        <v>17</v>
      </c>
      <c r="G121" cm="1">
        <f t="array" ref="G121">_xlfn.SWITCH(F121,"🟩 Superstar",5,"🟦 Star / All-Star",4,"🟨 Above-average starter",3,"⬛ Contributor / role player",2,"🟥 Bust",1,"⏳ Too early to tell","")</f>
        <v>1</v>
      </c>
    </row>
    <row r="122" spans="1:7" x14ac:dyDescent="0.2">
      <c r="A122" s="1">
        <v>2024</v>
      </c>
      <c r="B122" s="1">
        <v>11</v>
      </c>
      <c r="C122" s="2" t="s">
        <v>99</v>
      </c>
      <c r="D122" s="2" t="s">
        <v>218</v>
      </c>
      <c r="E122" s="2" t="s">
        <v>56</v>
      </c>
      <c r="F122" s="8" t="s">
        <v>37</v>
      </c>
      <c r="G122" t="str" cm="1">
        <f t="array" ref="G122">_xlfn.SWITCH(F122,"🟩 Superstar",5,"🟦 Star / All-Star",4,"🟨 Above-average starter",3,"⬛ Contributor / role player",2,"🟥 Bust",1,"⏳ Too early to tell","")</f>
        <v/>
      </c>
    </row>
    <row r="123" spans="1:7" x14ac:dyDescent="0.2">
      <c r="A123" s="1">
        <v>2025</v>
      </c>
      <c r="B123" s="1">
        <v>11</v>
      </c>
      <c r="C123" s="2" t="s">
        <v>84</v>
      </c>
      <c r="D123" s="2" t="s">
        <v>219</v>
      </c>
      <c r="E123" s="2" t="s">
        <v>220</v>
      </c>
      <c r="F123" s="8" t="s">
        <v>37</v>
      </c>
      <c r="G123" t="str" cm="1">
        <f t="array" ref="G123">_xlfn.SWITCH(F123,"🟩 Superstar",5,"🟦 Star / All-Star",4,"🟨 Above-average starter",3,"⬛ Contributor / role player",2,"🟥 Bust",1,"⏳ Too early to tell","")</f>
        <v/>
      </c>
    </row>
    <row r="124" spans="1:7" x14ac:dyDescent="0.2">
      <c r="A124" s="1">
        <v>2015</v>
      </c>
      <c r="B124" s="1">
        <v>12</v>
      </c>
      <c r="C124" s="2" t="s">
        <v>125</v>
      </c>
      <c r="D124" s="2" t="s">
        <v>221</v>
      </c>
      <c r="E124" s="2" t="s">
        <v>9</v>
      </c>
      <c r="F124" s="6" t="s">
        <v>63</v>
      </c>
      <c r="G124" cm="1">
        <f t="array" ref="G124">_xlfn.SWITCH(F124,"🟩 Superstar",5,"🟦 Star / All-Star",4,"🟨 Above-average starter",3,"⬛ Contributor / role player",2,"🟥 Bust",1,"⏳ Too early to tell","")</f>
        <v>2</v>
      </c>
    </row>
    <row r="125" spans="1:7" x14ac:dyDescent="0.2">
      <c r="A125" s="1">
        <v>2016</v>
      </c>
      <c r="B125" s="1">
        <v>12</v>
      </c>
      <c r="C125" s="2" t="s">
        <v>125</v>
      </c>
      <c r="D125" s="2" t="s">
        <v>222</v>
      </c>
      <c r="E125" s="2" t="s">
        <v>88</v>
      </c>
      <c r="F125" s="6" t="s">
        <v>63</v>
      </c>
      <c r="G125" cm="1">
        <f t="array" ref="G125">_xlfn.SWITCH(F125,"🟩 Superstar",5,"🟦 Star / All-Star",4,"🟨 Above-average starter",3,"⬛ Contributor / role player",2,"🟥 Bust",1,"⏳ Too early to tell","")</f>
        <v>2</v>
      </c>
    </row>
    <row r="126" spans="1:7" x14ac:dyDescent="0.2">
      <c r="A126" s="1">
        <v>2017</v>
      </c>
      <c r="B126" s="1">
        <v>12</v>
      </c>
      <c r="C126" s="2" t="s">
        <v>27</v>
      </c>
      <c r="D126" s="2" t="s">
        <v>223</v>
      </c>
      <c r="E126" s="2" t="s">
        <v>24</v>
      </c>
      <c r="F126" s="7" t="s">
        <v>21</v>
      </c>
      <c r="G126" cm="1">
        <f t="array" ref="G126">_xlfn.SWITCH(F126,"🟩 Superstar",5,"🟦 Star / All-Star",4,"🟨 Above-average starter",3,"⬛ Contributor / role player",2,"🟥 Bust",1,"⏳ Too early to tell","")</f>
        <v>3</v>
      </c>
    </row>
    <row r="127" spans="1:7" x14ac:dyDescent="0.2">
      <c r="A127" s="1">
        <v>2018</v>
      </c>
      <c r="B127" s="1">
        <v>12</v>
      </c>
      <c r="C127" s="2" t="s">
        <v>224</v>
      </c>
      <c r="D127" s="2" t="s">
        <v>225</v>
      </c>
      <c r="E127" s="2" t="s">
        <v>96</v>
      </c>
      <c r="F127" s="7" t="s">
        <v>21</v>
      </c>
      <c r="G127" cm="1">
        <f t="array" ref="G127">_xlfn.SWITCH(F127,"🟩 Superstar",5,"🟦 Star / All-Star",4,"🟨 Above-average starter",3,"⬛ Contributor / role player",2,"🟥 Bust",1,"⏳ Too early to tell","")</f>
        <v>3</v>
      </c>
    </row>
    <row r="128" spans="1:7" x14ac:dyDescent="0.2">
      <c r="A128" s="1">
        <v>2019</v>
      </c>
      <c r="B128" s="1">
        <v>12</v>
      </c>
      <c r="C128" s="2" t="s">
        <v>60</v>
      </c>
      <c r="D128" s="2" t="s">
        <v>226</v>
      </c>
      <c r="E128" s="2" t="s">
        <v>9</v>
      </c>
      <c r="F128" s="7" t="s">
        <v>21</v>
      </c>
      <c r="G128" cm="1">
        <f t="array" ref="G128">_xlfn.SWITCH(F128,"🟩 Superstar",5,"🟦 Star / All-Star",4,"🟨 Above-average starter",3,"⬛ Contributor / role player",2,"🟥 Bust",1,"⏳ Too early to tell","")</f>
        <v>3</v>
      </c>
    </row>
    <row r="129" spans="1:7" x14ac:dyDescent="0.2">
      <c r="A129" s="1">
        <v>2020</v>
      </c>
      <c r="B129" s="1">
        <v>12</v>
      </c>
      <c r="C129" s="2" t="s">
        <v>46</v>
      </c>
      <c r="D129" s="2" t="s">
        <v>227</v>
      </c>
      <c r="E129" s="2" t="s">
        <v>228</v>
      </c>
      <c r="F129" s="3" t="s">
        <v>10</v>
      </c>
      <c r="G129" cm="1">
        <f t="array" ref="G129">_xlfn.SWITCH(F129,"🟩 Superstar",5,"🟦 Star / All-Star",4,"🟨 Above-average starter",3,"⬛ Contributor / role player",2,"🟥 Bust",1,"⏳ Too early to tell","")</f>
        <v>5</v>
      </c>
    </row>
    <row r="130" spans="1:7" x14ac:dyDescent="0.2">
      <c r="A130" s="1">
        <v>2021</v>
      </c>
      <c r="B130" s="1">
        <v>12</v>
      </c>
      <c r="C130" s="2" t="s">
        <v>32</v>
      </c>
      <c r="D130" s="2" t="s">
        <v>229</v>
      </c>
      <c r="E130" s="2" t="s">
        <v>62</v>
      </c>
      <c r="F130" s="5" t="s">
        <v>17</v>
      </c>
      <c r="G130" cm="1">
        <f t="array" ref="G130">_xlfn.SWITCH(F130,"🟩 Superstar",5,"🟦 Star / All-Star",4,"🟨 Above-average starter",3,"⬛ Contributor / role player",2,"🟥 Bust",1,"⏳ Too early to tell","")</f>
        <v>1</v>
      </c>
    </row>
    <row r="131" spans="1:7" x14ac:dyDescent="0.2">
      <c r="A131" s="1">
        <v>2022</v>
      </c>
      <c r="B131" s="1">
        <v>12</v>
      </c>
      <c r="C131" s="2" t="s">
        <v>57</v>
      </c>
      <c r="D131" s="2" t="s">
        <v>230</v>
      </c>
      <c r="E131" s="2" t="s">
        <v>231</v>
      </c>
      <c r="F131" s="4" t="s">
        <v>14</v>
      </c>
      <c r="G131" cm="1">
        <f t="array" ref="G131">_xlfn.SWITCH(F131,"🟩 Superstar",5,"🟦 Star / All-Star",4,"🟨 Above-average starter",3,"⬛ Contributor / role player",2,"🟥 Bust",1,"⏳ Too early to tell","")</f>
        <v>4</v>
      </c>
    </row>
    <row r="132" spans="1:7" x14ac:dyDescent="0.2">
      <c r="A132" s="1">
        <v>2023</v>
      </c>
      <c r="B132" s="1">
        <v>12</v>
      </c>
      <c r="C132" s="2" t="s">
        <v>57</v>
      </c>
      <c r="D132" s="2" t="s">
        <v>232</v>
      </c>
      <c r="E132" s="2" t="s">
        <v>24</v>
      </c>
      <c r="F132" s="6" t="s">
        <v>63</v>
      </c>
      <c r="G132" cm="1">
        <f t="array" ref="G132">_xlfn.SWITCH(F132,"🟩 Superstar",5,"🟦 Star / All-Star",4,"🟨 Above-average starter",3,"⬛ Contributor / role player",2,"🟥 Bust",1,"⏳ Too early to tell","")</f>
        <v>2</v>
      </c>
    </row>
    <row r="133" spans="1:7" x14ac:dyDescent="0.2">
      <c r="A133" s="1">
        <v>2024</v>
      </c>
      <c r="B133" s="1">
        <v>12</v>
      </c>
      <c r="C133" s="2" t="s">
        <v>57</v>
      </c>
      <c r="D133" s="2" t="s">
        <v>233</v>
      </c>
      <c r="E133" s="2" t="s">
        <v>234</v>
      </c>
      <c r="F133" s="8" t="s">
        <v>37</v>
      </c>
      <c r="G133" t="str" cm="1">
        <f t="array" ref="G133">_xlfn.SWITCH(F133,"🟩 Superstar",5,"🟦 Star / All-Star",4,"🟨 Above-average starter",3,"⬛ Contributor / role player",2,"🟥 Bust",1,"⏳ Too early to tell","")</f>
        <v/>
      </c>
    </row>
    <row r="134" spans="1:7" x14ac:dyDescent="0.2">
      <c r="A134" s="1">
        <v>2025</v>
      </c>
      <c r="B134" s="1">
        <v>12</v>
      </c>
      <c r="C134" s="2" t="s">
        <v>99</v>
      </c>
      <c r="D134" s="2" t="s">
        <v>235</v>
      </c>
      <c r="E134" s="2" t="s">
        <v>34</v>
      </c>
      <c r="F134" s="8" t="s">
        <v>37</v>
      </c>
      <c r="G134" t="str" cm="1">
        <f t="array" ref="G134">_xlfn.SWITCH(F134,"🟩 Superstar",5,"🟦 Star / All-Star",4,"🟨 Above-average starter",3,"⬛ Contributor / role player",2,"🟥 Bust",1,"⏳ Too early to tell","")</f>
        <v/>
      </c>
    </row>
    <row r="135" spans="1:7" x14ac:dyDescent="0.2">
      <c r="A135" s="1">
        <v>2015</v>
      </c>
      <c r="B135" s="1">
        <v>13</v>
      </c>
      <c r="C135" s="2" t="s">
        <v>18</v>
      </c>
      <c r="D135" s="2" t="s">
        <v>236</v>
      </c>
      <c r="E135" s="2" t="s">
        <v>9</v>
      </c>
      <c r="F135" s="3" t="s">
        <v>10</v>
      </c>
      <c r="G135" cm="1">
        <f t="array" ref="G135">_xlfn.SWITCH(F135,"🟩 Superstar",5,"🟦 Star / All-Star",4,"🟨 Above-average starter",3,"⬛ Contributor / role player",2,"🟥 Bust",1,"⏳ Too early to tell","")</f>
        <v>5</v>
      </c>
    </row>
    <row r="136" spans="1:7" x14ac:dyDescent="0.2">
      <c r="A136" s="1">
        <v>2016</v>
      </c>
      <c r="B136" s="1">
        <v>13</v>
      </c>
      <c r="C136" s="2" t="s">
        <v>18</v>
      </c>
      <c r="D136" s="2" t="s">
        <v>237</v>
      </c>
      <c r="E136" s="2" t="s">
        <v>238</v>
      </c>
      <c r="F136" s="5" t="s">
        <v>17</v>
      </c>
      <c r="G136" cm="1">
        <f t="array" ref="G136">_xlfn.SWITCH(F136,"🟩 Superstar",5,"🟦 Star / All-Star",4,"🟨 Above-average starter",3,"⬛ Contributor / role player",2,"🟥 Bust",1,"⏳ Too early to tell","")</f>
        <v>1</v>
      </c>
    </row>
    <row r="137" spans="1:7" x14ac:dyDescent="0.2">
      <c r="A137" s="1">
        <v>2017</v>
      </c>
      <c r="B137" s="1">
        <v>13</v>
      </c>
      <c r="C137" s="2" t="s">
        <v>143</v>
      </c>
      <c r="D137" s="2" t="s">
        <v>239</v>
      </c>
      <c r="E137" s="2" t="s">
        <v>240</v>
      </c>
      <c r="F137" s="3" t="s">
        <v>10</v>
      </c>
      <c r="G137" cm="1">
        <f t="array" ref="G137">_xlfn.SWITCH(F137,"🟩 Superstar",5,"🟦 Star / All-Star",4,"🟨 Above-average starter",3,"⬛ Contributor / role player",2,"🟥 Bust",1,"⏳ Too early to tell","")</f>
        <v>5</v>
      </c>
    </row>
    <row r="138" spans="1:7" x14ac:dyDescent="0.2">
      <c r="A138" s="1">
        <v>2018</v>
      </c>
      <c r="B138" s="1">
        <v>13</v>
      </c>
      <c r="C138" s="2" t="s">
        <v>224</v>
      </c>
      <c r="D138" s="2" t="s">
        <v>241</v>
      </c>
      <c r="E138" s="2" t="s">
        <v>242</v>
      </c>
      <c r="F138" s="5" t="s">
        <v>17</v>
      </c>
      <c r="G138" cm="1">
        <f t="array" ref="G138">_xlfn.SWITCH(F138,"🟩 Superstar",5,"🟦 Star / All-Star",4,"🟨 Above-average starter",3,"⬛ Contributor / role player",2,"🟥 Bust",1,"⏳ Too early to tell","")</f>
        <v>1</v>
      </c>
    </row>
    <row r="139" spans="1:7" x14ac:dyDescent="0.2">
      <c r="A139" s="1">
        <v>2019</v>
      </c>
      <c r="B139" s="1">
        <v>13</v>
      </c>
      <c r="C139" s="2" t="s">
        <v>190</v>
      </c>
      <c r="D139" s="2" t="s">
        <v>243</v>
      </c>
      <c r="E139" s="2" t="s">
        <v>9</v>
      </c>
      <c r="F139" s="4" t="s">
        <v>14</v>
      </c>
      <c r="G139" cm="1">
        <f t="array" ref="G139">_xlfn.SWITCH(F139,"🟩 Superstar",5,"🟦 Star / All-Star",4,"🟨 Above-average starter",3,"⬛ Contributor / role player",2,"🟥 Bust",1,"⏳ Too early to tell","")</f>
        <v>4</v>
      </c>
    </row>
    <row r="140" spans="1:7" x14ac:dyDescent="0.2">
      <c r="A140" s="1">
        <v>2020</v>
      </c>
      <c r="B140" s="1">
        <v>13</v>
      </c>
      <c r="C140" s="2" t="s">
        <v>22</v>
      </c>
      <c r="D140" s="2" t="s">
        <v>244</v>
      </c>
      <c r="E140" s="2" t="s">
        <v>62</v>
      </c>
      <c r="F140" s="5" t="s">
        <v>17</v>
      </c>
      <c r="G140" cm="1">
        <f t="array" ref="G140">_xlfn.SWITCH(F140,"🟩 Superstar",5,"🟦 Star / All-Star",4,"🟨 Above-average starter",3,"⬛ Contributor / role player",2,"🟥 Bust",1,"⏳ Too early to tell","")</f>
        <v>1</v>
      </c>
    </row>
    <row r="141" spans="1:7" x14ac:dyDescent="0.2">
      <c r="A141" s="1">
        <v>2021</v>
      </c>
      <c r="B141" s="1">
        <v>13</v>
      </c>
      <c r="C141" s="2" t="s">
        <v>137</v>
      </c>
      <c r="D141" s="2" t="s">
        <v>245</v>
      </c>
      <c r="E141" s="2" t="s">
        <v>246</v>
      </c>
      <c r="F141" s="5" t="s">
        <v>17</v>
      </c>
      <c r="G141" cm="1">
        <f t="array" ref="G141">_xlfn.SWITCH(F141,"🟩 Superstar",5,"🟦 Star / All-Star",4,"🟨 Above-average starter",3,"⬛ Contributor / role player",2,"🟥 Bust",1,"⏳ Too early to tell","")</f>
        <v>1</v>
      </c>
    </row>
    <row r="142" spans="1:7" x14ac:dyDescent="0.2">
      <c r="A142" s="1">
        <v>2022</v>
      </c>
      <c r="B142" s="1">
        <v>13</v>
      </c>
      <c r="C142" s="2" t="s">
        <v>60</v>
      </c>
      <c r="D142" s="2" t="s">
        <v>247</v>
      </c>
      <c r="E142" s="2" t="s">
        <v>53</v>
      </c>
      <c r="F142" s="4" t="s">
        <v>14</v>
      </c>
      <c r="G142" cm="1">
        <f t="array" ref="G142">_xlfn.SWITCH(F142,"🟩 Superstar",5,"🟦 Star / All-Star",4,"🟨 Above-average starter",3,"⬛ Contributor / role player",2,"🟥 Bust",1,"⏳ Too early to tell","")</f>
        <v>4</v>
      </c>
    </row>
    <row r="143" spans="1:7" x14ac:dyDescent="0.2">
      <c r="A143" s="1">
        <v>2023</v>
      </c>
      <c r="B143" s="1">
        <v>13</v>
      </c>
      <c r="C143" s="2" t="s">
        <v>102</v>
      </c>
      <c r="D143" s="2" t="s">
        <v>248</v>
      </c>
      <c r="E143" s="2" t="s">
        <v>94</v>
      </c>
      <c r="F143" s="6" t="s">
        <v>63</v>
      </c>
      <c r="G143" cm="1">
        <f t="array" ref="G143">_xlfn.SWITCH(F143,"🟩 Superstar",5,"🟦 Star / All-Star",4,"🟨 Above-average starter",3,"⬛ Contributor / role player",2,"🟥 Bust",1,"⏳ Too early to tell","")</f>
        <v>2</v>
      </c>
    </row>
    <row r="144" spans="1:7" x14ac:dyDescent="0.2">
      <c r="A144" s="1">
        <v>2024</v>
      </c>
      <c r="B144" s="1">
        <v>13</v>
      </c>
      <c r="C144" s="2" t="s">
        <v>46</v>
      </c>
      <c r="D144" s="2" t="s">
        <v>249</v>
      </c>
      <c r="E144" s="2" t="s">
        <v>113</v>
      </c>
      <c r="F144" s="8" t="s">
        <v>37</v>
      </c>
      <c r="G144" t="str" cm="1">
        <f t="array" ref="G144">_xlfn.SWITCH(F144,"🟩 Superstar",5,"🟦 Star / All-Star",4,"🟨 Above-average starter",3,"⬛ Contributor / role player",2,"🟥 Bust",1,"⏳ Too early to tell","")</f>
        <v/>
      </c>
    </row>
    <row r="145" spans="1:7" x14ac:dyDescent="0.2">
      <c r="A145" s="1">
        <v>2025</v>
      </c>
      <c r="B145" s="1">
        <v>13</v>
      </c>
      <c r="C145" s="2" t="s">
        <v>35</v>
      </c>
      <c r="D145" s="2" t="s">
        <v>250</v>
      </c>
      <c r="E145" s="2" t="s">
        <v>200</v>
      </c>
      <c r="F145" s="8" t="s">
        <v>37</v>
      </c>
      <c r="G145" t="str" cm="1">
        <f t="array" ref="G145">_xlfn.SWITCH(F145,"🟩 Superstar",5,"🟦 Star / All-Star",4,"🟨 Above-average starter",3,"⬛ Contributor / role player",2,"🟥 Bust",1,"⏳ Too early to tell","")</f>
        <v/>
      </c>
    </row>
    <row r="146" spans="1:7" x14ac:dyDescent="0.2">
      <c r="A146" s="1">
        <v>2015</v>
      </c>
      <c r="B146" s="1">
        <v>14</v>
      </c>
      <c r="C146" s="2" t="s">
        <v>57</v>
      </c>
      <c r="D146" s="2" t="s">
        <v>251</v>
      </c>
      <c r="E146" s="2" t="s">
        <v>50</v>
      </c>
      <c r="F146" s="6" t="s">
        <v>63</v>
      </c>
      <c r="G146" cm="1">
        <f t="array" ref="G146">_xlfn.SWITCH(F146,"🟩 Superstar",5,"🟦 Star / All-Star",4,"🟨 Above-average starter",3,"⬛ Contributor / role player",2,"🟥 Bust",1,"⏳ Too early to tell","")</f>
        <v>2</v>
      </c>
    </row>
    <row r="147" spans="1:7" x14ac:dyDescent="0.2">
      <c r="A147" s="1">
        <v>2016</v>
      </c>
      <c r="B147" s="1">
        <v>14</v>
      </c>
      <c r="C147" s="2" t="s">
        <v>99</v>
      </c>
      <c r="D147" s="2" t="s">
        <v>252</v>
      </c>
      <c r="E147" s="2" t="s">
        <v>96</v>
      </c>
      <c r="F147" s="5" t="s">
        <v>17</v>
      </c>
      <c r="G147" cm="1">
        <f t="array" ref="G147">_xlfn.SWITCH(F147,"🟩 Superstar",5,"🟦 Star / All-Star",4,"🟨 Above-average starter",3,"⬛ Contributor / role player",2,"🟥 Bust",1,"⏳ Too early to tell","")</f>
        <v>1</v>
      </c>
    </row>
    <row r="148" spans="1:7" x14ac:dyDescent="0.2">
      <c r="A148" s="1">
        <v>2017</v>
      </c>
      <c r="B148" s="1">
        <v>14</v>
      </c>
      <c r="C148" s="2" t="s">
        <v>190</v>
      </c>
      <c r="D148" s="2" t="s">
        <v>253</v>
      </c>
      <c r="E148" s="2" t="s">
        <v>9</v>
      </c>
      <c r="F148" s="4" t="s">
        <v>14</v>
      </c>
      <c r="G148" cm="1">
        <f t="array" ref="G148">_xlfn.SWITCH(F148,"🟩 Superstar",5,"🟦 Star / All-Star",4,"🟨 Above-average starter",3,"⬛ Contributor / role player",2,"🟥 Bust",1,"⏳ Too early to tell","")</f>
        <v>4</v>
      </c>
    </row>
    <row r="149" spans="1:7" x14ac:dyDescent="0.2">
      <c r="A149" s="1">
        <v>2018</v>
      </c>
      <c r="B149" s="1">
        <v>14</v>
      </c>
      <c r="C149" s="2" t="s">
        <v>143</v>
      </c>
      <c r="D149" s="2" t="s">
        <v>254</v>
      </c>
      <c r="E149" s="2" t="s">
        <v>255</v>
      </c>
      <c r="F149" s="7" t="s">
        <v>21</v>
      </c>
      <c r="G149" cm="1">
        <f t="array" ref="G149">_xlfn.SWITCH(F149,"🟩 Superstar",5,"🟦 Star / All-Star",4,"🟨 Above-average starter",3,"⬛ Contributor / role player",2,"🟥 Bust",1,"⏳ Too early to tell","")</f>
        <v>3</v>
      </c>
    </row>
    <row r="150" spans="1:7" x14ac:dyDescent="0.2">
      <c r="A150" s="1">
        <v>2019</v>
      </c>
      <c r="B150" s="1">
        <v>14</v>
      </c>
      <c r="C150" s="2" t="s">
        <v>69</v>
      </c>
      <c r="D150" s="2" t="s">
        <v>256</v>
      </c>
      <c r="E150" s="2" t="s">
        <v>257</v>
      </c>
      <c r="F150" s="5" t="s">
        <v>17</v>
      </c>
      <c r="G150" cm="1">
        <f t="array" ref="G150">_xlfn.SWITCH(F150,"🟩 Superstar",5,"🟦 Star / All-Star",4,"🟨 Above-average starter",3,"⬛ Contributor / role player",2,"🟥 Bust",1,"⏳ Too early to tell","")</f>
        <v>1</v>
      </c>
    </row>
    <row r="151" spans="1:7" x14ac:dyDescent="0.2">
      <c r="A151" s="1">
        <v>2020</v>
      </c>
      <c r="B151" s="1">
        <v>14</v>
      </c>
      <c r="C151" s="2" t="s">
        <v>69</v>
      </c>
      <c r="D151" s="2" t="s">
        <v>258</v>
      </c>
      <c r="E151" s="2" t="s">
        <v>118</v>
      </c>
      <c r="F151" s="6" t="s">
        <v>63</v>
      </c>
      <c r="G151" cm="1">
        <f t="array" ref="G151">_xlfn.SWITCH(F151,"🟩 Superstar",5,"🟦 Star / All-Star",4,"🟨 Above-average starter",3,"⬛ Contributor / role player",2,"🟥 Bust",1,"⏳ Too early to tell","")</f>
        <v>2</v>
      </c>
    </row>
    <row r="152" spans="1:7" x14ac:dyDescent="0.2">
      <c r="A152" s="1">
        <v>2021</v>
      </c>
      <c r="B152" s="1">
        <v>14</v>
      </c>
      <c r="C152" s="2" t="s">
        <v>51</v>
      </c>
      <c r="D152" s="2" t="s">
        <v>259</v>
      </c>
      <c r="E152" s="2" t="s">
        <v>140</v>
      </c>
      <c r="F152" s="6" t="s">
        <v>63</v>
      </c>
      <c r="G152" cm="1">
        <f t="array" ref="G152">_xlfn.SWITCH(F152,"🟩 Superstar",5,"🟦 Star / All-Star",4,"🟨 Above-average starter",3,"⬛ Contributor / role player",2,"🟥 Bust",1,"⏳ Too early to tell","")</f>
        <v>2</v>
      </c>
    </row>
    <row r="153" spans="1:7" x14ac:dyDescent="0.2">
      <c r="A153" s="1">
        <v>2022</v>
      </c>
      <c r="B153" s="1">
        <v>14</v>
      </c>
      <c r="C153" s="2" t="s">
        <v>79</v>
      </c>
      <c r="D153" s="2" t="s">
        <v>260</v>
      </c>
      <c r="E153" s="2" t="s">
        <v>94</v>
      </c>
      <c r="F153" s="6" t="s">
        <v>63</v>
      </c>
      <c r="G153" cm="1">
        <f t="array" ref="G153">_xlfn.SWITCH(F153,"🟩 Superstar",5,"🟦 Star / All-Star",4,"🟨 Above-average starter",3,"⬛ Contributor / role player",2,"🟥 Bust",1,"⏳ Too early to tell","")</f>
        <v>2</v>
      </c>
    </row>
    <row r="154" spans="1:7" x14ac:dyDescent="0.2">
      <c r="A154" s="1">
        <v>2023</v>
      </c>
      <c r="B154" s="1">
        <v>14</v>
      </c>
      <c r="C154" s="2" t="s">
        <v>22</v>
      </c>
      <c r="D154" s="2" t="s">
        <v>261</v>
      </c>
      <c r="E154" s="2" t="s">
        <v>109</v>
      </c>
      <c r="F154" s="5" t="s">
        <v>17</v>
      </c>
      <c r="G154" cm="1">
        <f t="array" ref="G154">_xlfn.SWITCH(F154,"🟩 Superstar",5,"🟦 Star / All-Star",4,"🟨 Above-average starter",3,"⬛ Contributor / role player",2,"🟥 Bust",1,"⏳ Too early to tell","")</f>
        <v>1</v>
      </c>
    </row>
    <row r="155" spans="1:7" x14ac:dyDescent="0.2">
      <c r="A155" s="1">
        <v>2024</v>
      </c>
      <c r="B155" s="1">
        <v>14</v>
      </c>
      <c r="C155" s="2" t="s">
        <v>84</v>
      </c>
      <c r="D155" s="2" t="s">
        <v>262</v>
      </c>
      <c r="E155" s="2" t="s">
        <v>263</v>
      </c>
      <c r="F155" s="8" t="s">
        <v>37</v>
      </c>
      <c r="G155" t="str" cm="1">
        <f t="array" ref="G155">_xlfn.SWITCH(F155,"🟩 Superstar",5,"🟦 Star / All-Star",4,"🟨 Above-average starter",3,"⬛ Contributor / role player",2,"🟥 Bust",1,"⏳ Too early to tell","")</f>
        <v/>
      </c>
    </row>
    <row r="156" spans="1:7" x14ac:dyDescent="0.2">
      <c r="A156" s="1">
        <v>2025</v>
      </c>
      <c r="B156" s="1">
        <v>14</v>
      </c>
      <c r="C156" s="2" t="s">
        <v>32</v>
      </c>
      <c r="D156" s="2" t="s">
        <v>264</v>
      </c>
      <c r="E156" s="2" t="s">
        <v>20</v>
      </c>
      <c r="F156" s="8" t="s">
        <v>37</v>
      </c>
      <c r="G156" t="str" cm="1">
        <f t="array" ref="G156">_xlfn.SWITCH(F156,"🟩 Superstar",5,"🟦 Star / All-Star",4,"🟨 Above-average starter",3,"⬛ Contributor / role player",2,"🟥 Bust",1,"⏳ Too early to tell","")</f>
        <v/>
      </c>
    </row>
    <row r="157" spans="1:7" x14ac:dyDescent="0.2">
      <c r="A157" s="1">
        <v>2015</v>
      </c>
      <c r="B157" s="1">
        <v>15</v>
      </c>
      <c r="C157" s="2" t="s">
        <v>35</v>
      </c>
      <c r="D157" s="2" t="s">
        <v>265</v>
      </c>
      <c r="E157" s="2" t="s">
        <v>94</v>
      </c>
      <c r="F157" s="7" t="s">
        <v>21</v>
      </c>
      <c r="G157" cm="1">
        <f t="array" ref="G157">_xlfn.SWITCH(F157,"🟩 Superstar",5,"🟦 Star / All-Star",4,"🟨 Above-average starter",3,"⬛ Contributor / role player",2,"🟥 Bust",1,"⏳ Too early to tell","")</f>
        <v>3</v>
      </c>
    </row>
    <row r="158" spans="1:7" x14ac:dyDescent="0.2">
      <c r="A158" s="1">
        <v>2016</v>
      </c>
      <c r="B158" s="1">
        <v>15</v>
      </c>
      <c r="C158" s="2" t="s">
        <v>143</v>
      </c>
      <c r="D158" s="2" t="s">
        <v>266</v>
      </c>
      <c r="E158" s="2" t="s">
        <v>267</v>
      </c>
      <c r="F158" s="5" t="s">
        <v>17</v>
      </c>
      <c r="G158" cm="1">
        <f t="array" ref="G158">_xlfn.SWITCH(F158,"🟩 Superstar",5,"🟦 Star / All-Star",4,"🟨 Above-average starter",3,"⬛ Contributor / role player",2,"🟥 Bust",1,"⏳ Too early to tell","")</f>
        <v>1</v>
      </c>
    </row>
    <row r="159" spans="1:7" x14ac:dyDescent="0.2">
      <c r="A159" s="1">
        <v>2017</v>
      </c>
      <c r="B159" s="1">
        <v>15</v>
      </c>
      <c r="C159" s="2" t="s">
        <v>84</v>
      </c>
      <c r="D159" s="2" t="s">
        <v>268</v>
      </c>
      <c r="E159" s="2" t="s">
        <v>150</v>
      </c>
      <c r="F159" s="5" t="s">
        <v>17</v>
      </c>
      <c r="G159" cm="1">
        <f t="array" ref="G159">_xlfn.SWITCH(F159,"🟩 Superstar",5,"🟦 Star / All-Star",4,"🟨 Above-average starter",3,"⬛ Contributor / role player",2,"🟥 Bust",1,"⏳ Too early to tell","")</f>
        <v>1</v>
      </c>
    </row>
    <row r="160" spans="1:7" x14ac:dyDescent="0.2">
      <c r="A160" s="1">
        <v>2018</v>
      </c>
      <c r="B160" s="1">
        <v>15</v>
      </c>
      <c r="C160" s="2" t="s">
        <v>64</v>
      </c>
      <c r="D160" s="2" t="s">
        <v>269</v>
      </c>
      <c r="E160" s="2" t="s">
        <v>246</v>
      </c>
      <c r="F160" s="6" t="s">
        <v>63</v>
      </c>
      <c r="G160" cm="1">
        <f t="array" ref="G160">_xlfn.SWITCH(F160,"🟩 Superstar",5,"🟦 Star / All-Star",4,"🟨 Above-average starter",3,"⬛ Contributor / role player",2,"🟥 Bust",1,"⏳ Too early to tell","")</f>
        <v>2</v>
      </c>
    </row>
    <row r="161" spans="1:7" x14ac:dyDescent="0.2">
      <c r="A161" s="1">
        <v>2019</v>
      </c>
      <c r="B161" s="1">
        <v>15</v>
      </c>
      <c r="C161" s="2" t="s">
        <v>27</v>
      </c>
      <c r="D161" s="2" t="s">
        <v>270</v>
      </c>
      <c r="E161" s="2" t="s">
        <v>34</v>
      </c>
      <c r="F161" s="5" t="s">
        <v>17</v>
      </c>
      <c r="G161" cm="1">
        <f t="array" ref="G161">_xlfn.SWITCH(F161,"🟩 Superstar",5,"🟦 Star / All-Star",4,"🟨 Above-average starter",3,"⬛ Contributor / role player",2,"🟥 Bust",1,"⏳ Too early to tell","")</f>
        <v>1</v>
      </c>
    </row>
    <row r="162" spans="1:7" x14ac:dyDescent="0.2">
      <c r="A162" s="1">
        <v>2020</v>
      </c>
      <c r="B162" s="1">
        <v>15</v>
      </c>
      <c r="C162" s="2" t="s">
        <v>30</v>
      </c>
      <c r="D162" s="2" t="s">
        <v>271</v>
      </c>
      <c r="E162" s="2" t="s">
        <v>150</v>
      </c>
      <c r="F162" s="6" t="s">
        <v>63</v>
      </c>
      <c r="G162" cm="1">
        <f t="array" ref="G162">_xlfn.SWITCH(F162,"🟩 Superstar",5,"🟦 Star / All-Star",4,"🟨 Above-average starter",3,"⬛ Contributor / role player",2,"🟥 Bust",1,"⏳ Too early to tell","")</f>
        <v>2</v>
      </c>
    </row>
    <row r="163" spans="1:7" x14ac:dyDescent="0.2">
      <c r="A163" s="1">
        <v>2021</v>
      </c>
      <c r="B163" s="1">
        <v>15</v>
      </c>
      <c r="C163" s="2" t="s">
        <v>64</v>
      </c>
      <c r="D163" s="2" t="s">
        <v>272</v>
      </c>
      <c r="E163" s="2" t="s">
        <v>59</v>
      </c>
      <c r="F163" s="6" t="s">
        <v>63</v>
      </c>
      <c r="G163" cm="1">
        <f t="array" ref="G163">_xlfn.SWITCH(F163,"🟩 Superstar",5,"🟦 Star / All-Star",4,"🟨 Above-average starter",3,"⬛ Contributor / role player",2,"🟥 Bust",1,"⏳ Too early to tell","")</f>
        <v>2</v>
      </c>
    </row>
    <row r="164" spans="1:7" x14ac:dyDescent="0.2">
      <c r="A164" s="1">
        <v>2022</v>
      </c>
      <c r="B164" s="1">
        <v>15</v>
      </c>
      <c r="C164" s="2" t="s">
        <v>60</v>
      </c>
      <c r="D164" s="2" t="s">
        <v>273</v>
      </c>
      <c r="E164" s="2" t="s">
        <v>24</v>
      </c>
      <c r="F164" s="7" t="s">
        <v>21</v>
      </c>
      <c r="G164" cm="1">
        <f t="array" ref="G164">_xlfn.SWITCH(F164,"🟩 Superstar",5,"🟦 Star / All-Star",4,"🟨 Above-average starter",3,"⬛ Contributor / role player",2,"🟥 Bust",1,"⏳ Too early to tell","")</f>
        <v>3</v>
      </c>
    </row>
    <row r="165" spans="1:7" x14ac:dyDescent="0.2">
      <c r="A165" s="1">
        <v>2023</v>
      </c>
      <c r="B165" s="1">
        <v>15</v>
      </c>
      <c r="C165" s="2" t="s">
        <v>35</v>
      </c>
      <c r="D165" s="2" t="s">
        <v>274</v>
      </c>
      <c r="E165" s="2" t="s">
        <v>165</v>
      </c>
      <c r="F165" s="5" t="s">
        <v>17</v>
      </c>
      <c r="G165" cm="1">
        <f t="array" ref="G165">_xlfn.SWITCH(F165,"🟩 Superstar",5,"🟦 Star / All-Star",4,"🟨 Above-average starter",3,"⬛ Contributor / role player",2,"🟥 Bust",1,"⏳ Too early to tell","")</f>
        <v>1</v>
      </c>
    </row>
    <row r="166" spans="1:7" x14ac:dyDescent="0.2">
      <c r="A166" s="1">
        <v>2024</v>
      </c>
      <c r="B166" s="1">
        <v>15</v>
      </c>
      <c r="C166" s="2" t="s">
        <v>190</v>
      </c>
      <c r="D166" s="2" t="s">
        <v>275</v>
      </c>
      <c r="E166" s="2" t="s">
        <v>257</v>
      </c>
      <c r="F166" s="8" t="s">
        <v>37</v>
      </c>
      <c r="G166" t="str" cm="1">
        <f t="array" ref="G166">_xlfn.SWITCH(F166,"🟩 Superstar",5,"🟦 Star / All-Star",4,"🟨 Above-average starter",3,"⬛ Contributor / role player",2,"🟥 Bust",1,"⏳ Too early to tell","")</f>
        <v/>
      </c>
    </row>
    <row r="167" spans="1:7" x14ac:dyDescent="0.2">
      <c r="A167" s="1">
        <v>2025</v>
      </c>
      <c r="B167" s="1">
        <v>15</v>
      </c>
      <c r="C167" s="2" t="s">
        <v>57</v>
      </c>
      <c r="D167" s="2" t="s">
        <v>276</v>
      </c>
      <c r="E167" s="2" t="s">
        <v>277</v>
      </c>
      <c r="F167" s="8" t="s">
        <v>37</v>
      </c>
      <c r="G167" t="str" cm="1">
        <f t="array" ref="G167">_xlfn.SWITCH(F167,"🟩 Superstar",5,"🟦 Star / All-Star",4,"🟨 Above-average starter",3,"⬛ Contributor / role player",2,"🟥 Bust",1,"⏳ Too early to tell","")</f>
        <v/>
      </c>
    </row>
    <row r="168" spans="1:7" x14ac:dyDescent="0.2">
      <c r="A168" s="1">
        <v>2015</v>
      </c>
      <c r="B168" s="1">
        <v>16</v>
      </c>
      <c r="C168" s="2" t="s">
        <v>69</v>
      </c>
      <c r="D168" s="2" t="s">
        <v>278</v>
      </c>
      <c r="E168" s="2" t="s">
        <v>240</v>
      </c>
      <c r="F168" s="7" t="s">
        <v>21</v>
      </c>
      <c r="G168" cm="1">
        <f t="array" ref="G168">_xlfn.SWITCH(F168,"🟩 Superstar",5,"🟦 Star / All-Star",4,"🟨 Above-average starter",3,"⬛ Contributor / role player",2,"🟥 Bust",1,"⏳ Too early to tell","")</f>
        <v>3</v>
      </c>
    </row>
    <row r="169" spans="1:7" x14ac:dyDescent="0.2">
      <c r="A169" s="1">
        <v>2016</v>
      </c>
      <c r="B169" s="1">
        <v>16</v>
      </c>
      <c r="C169" s="2" t="s">
        <v>69</v>
      </c>
      <c r="D169" s="2" t="s">
        <v>279</v>
      </c>
      <c r="E169" s="2" t="s">
        <v>34</v>
      </c>
      <c r="F169" s="6" t="s">
        <v>63</v>
      </c>
      <c r="G169" cm="1">
        <f t="array" ref="G169">_xlfn.SWITCH(F169,"🟩 Superstar",5,"🟦 Star / All-Star",4,"🟨 Above-average starter",3,"⬛ Contributor / role player",2,"🟥 Bust",1,"⏳ Too early to tell","")</f>
        <v>2</v>
      </c>
    </row>
    <row r="170" spans="1:7" x14ac:dyDescent="0.2">
      <c r="A170" s="1">
        <v>2017</v>
      </c>
      <c r="B170" s="1">
        <v>16</v>
      </c>
      <c r="C170" s="2" t="s">
        <v>99</v>
      </c>
      <c r="D170" s="2" t="s">
        <v>280</v>
      </c>
      <c r="E170" s="2" t="s">
        <v>281</v>
      </c>
      <c r="F170" s="5" t="s">
        <v>17</v>
      </c>
      <c r="G170" cm="1">
        <f t="array" ref="G170">_xlfn.SWITCH(F170,"🟩 Superstar",5,"🟦 Star / All-Star",4,"🟨 Above-average starter",3,"⬛ Contributor / role player",2,"🟥 Bust",1,"⏳ Too early to tell","")</f>
        <v>1</v>
      </c>
    </row>
    <row r="171" spans="1:7" x14ac:dyDescent="0.2">
      <c r="A171" s="1">
        <v>2018</v>
      </c>
      <c r="B171" s="1">
        <v>16</v>
      </c>
      <c r="C171" s="2" t="s">
        <v>18</v>
      </c>
      <c r="D171" s="2" t="s">
        <v>282</v>
      </c>
      <c r="E171" s="2" t="s">
        <v>133</v>
      </c>
      <c r="F171" s="5" t="s">
        <v>17</v>
      </c>
      <c r="G171" cm="1">
        <f t="array" ref="G171">_xlfn.SWITCH(F171,"🟩 Superstar",5,"🟦 Star / All-Star",4,"🟨 Above-average starter",3,"⬛ Contributor / role player",2,"🟥 Bust",1,"⏳ Too early to tell","")</f>
        <v>1</v>
      </c>
    </row>
    <row r="172" spans="1:7" x14ac:dyDescent="0.2">
      <c r="A172" s="1">
        <v>2019</v>
      </c>
      <c r="B172" s="1">
        <v>16</v>
      </c>
      <c r="C172" s="2" t="s">
        <v>30</v>
      </c>
      <c r="D172" s="2" t="s">
        <v>283</v>
      </c>
      <c r="E172" s="2" t="s">
        <v>83</v>
      </c>
      <c r="F172" s="6" t="s">
        <v>63</v>
      </c>
      <c r="G172" cm="1">
        <f t="array" ref="G172">_xlfn.SWITCH(F172,"🟩 Superstar",5,"🟦 Star / All-Star",4,"🟨 Above-average starter",3,"⬛ Contributor / role player",2,"🟥 Bust",1,"⏳ Too early to tell","")</f>
        <v>2</v>
      </c>
    </row>
    <row r="173" spans="1:7" x14ac:dyDescent="0.2">
      <c r="A173" s="1">
        <v>2020</v>
      </c>
      <c r="B173" s="1">
        <v>16</v>
      </c>
      <c r="C173" s="2" t="s">
        <v>84</v>
      </c>
      <c r="D173" s="2" t="s">
        <v>284</v>
      </c>
      <c r="E173" s="2" t="s">
        <v>16</v>
      </c>
      <c r="F173" s="6" t="s">
        <v>63</v>
      </c>
      <c r="G173" cm="1">
        <f t="array" ref="G173">_xlfn.SWITCH(F173,"🟩 Superstar",5,"🟦 Star / All-Star",4,"🟨 Above-average starter",3,"⬛ Contributor / role player",2,"🟥 Bust",1,"⏳ Too early to tell","")</f>
        <v>2</v>
      </c>
    </row>
    <row r="174" spans="1:7" x14ac:dyDescent="0.2">
      <c r="A174" s="1">
        <v>2021</v>
      </c>
      <c r="B174" s="1">
        <v>16</v>
      </c>
      <c r="C174" s="2" t="s">
        <v>57</v>
      </c>
      <c r="D174" s="2" t="s">
        <v>285</v>
      </c>
      <c r="E174" s="2" t="s">
        <v>286</v>
      </c>
      <c r="F174" s="4" t="s">
        <v>14</v>
      </c>
      <c r="G174" cm="1">
        <f t="array" ref="G174">_xlfn.SWITCH(F174,"🟩 Superstar",5,"🟦 Star / All-Star",4,"🟨 Above-average starter",3,"⬛ Contributor / role player",2,"🟥 Bust",1,"⏳ Too early to tell","")</f>
        <v>4</v>
      </c>
    </row>
    <row r="175" spans="1:7" x14ac:dyDescent="0.2">
      <c r="A175" s="1">
        <v>2022</v>
      </c>
      <c r="B175" s="1">
        <v>16</v>
      </c>
      <c r="C175" s="2" t="s">
        <v>35</v>
      </c>
      <c r="D175" s="2" t="s">
        <v>287</v>
      </c>
      <c r="E175" s="2" t="s">
        <v>24</v>
      </c>
      <c r="F175" s="5" t="s">
        <v>17</v>
      </c>
      <c r="G175" cm="1">
        <f t="array" ref="G175">_xlfn.SWITCH(F175,"🟩 Superstar",5,"🟦 Star / All-Star",4,"🟨 Above-average starter",3,"⬛ Contributor / role player",2,"🟥 Bust",1,"⏳ Too early to tell","")</f>
        <v>1</v>
      </c>
    </row>
    <row r="176" spans="1:7" x14ac:dyDescent="0.2">
      <c r="A176" s="1">
        <v>2023</v>
      </c>
      <c r="B176" s="1">
        <v>16</v>
      </c>
      <c r="C176" s="2" t="s">
        <v>125</v>
      </c>
      <c r="D176" s="2" t="s">
        <v>288</v>
      </c>
      <c r="E176" s="2" t="s">
        <v>88</v>
      </c>
      <c r="F176" s="7" t="s">
        <v>21</v>
      </c>
      <c r="G176" cm="1">
        <f t="array" ref="G176">_xlfn.SWITCH(F176,"🟩 Superstar",5,"🟦 Star / All-Star",4,"🟨 Above-average starter",3,"⬛ Contributor / role player",2,"🟥 Bust",1,"⏳ Too early to tell","")</f>
        <v>3</v>
      </c>
    </row>
    <row r="177" spans="1:7" x14ac:dyDescent="0.2">
      <c r="A177" s="1">
        <v>2024</v>
      </c>
      <c r="B177" s="1">
        <v>16</v>
      </c>
      <c r="C177" s="2" t="s">
        <v>11</v>
      </c>
      <c r="D177" s="2" t="s">
        <v>289</v>
      </c>
      <c r="E177" s="2" t="s">
        <v>24</v>
      </c>
      <c r="F177" s="7" t="s">
        <v>21</v>
      </c>
      <c r="G177" cm="1">
        <f t="array" ref="G177">_xlfn.SWITCH(F177,"🟩 Superstar",5,"🟦 Star / All-Star",4,"🟨 Above-average starter",3,"⬛ Contributor / role player",2,"🟥 Bust",1,"⏳ Too early to tell","")</f>
        <v>3</v>
      </c>
    </row>
    <row r="178" spans="1:7" x14ac:dyDescent="0.2">
      <c r="A178" s="1">
        <v>2025</v>
      </c>
      <c r="B178" s="1">
        <v>16</v>
      </c>
      <c r="C178" s="2" t="s">
        <v>48</v>
      </c>
      <c r="D178" s="2" t="s">
        <v>290</v>
      </c>
      <c r="E178" s="2" t="s">
        <v>291</v>
      </c>
      <c r="F178" s="8" t="s">
        <v>37</v>
      </c>
      <c r="G178" t="str" cm="1">
        <f t="array" ref="G178">_xlfn.SWITCH(F178,"🟩 Superstar",5,"🟦 Star / All-Star",4,"🟨 Above-average starter",3,"⬛ Contributor / role player",2,"🟥 Bust",1,"⏳ Too early to tell","")</f>
        <v/>
      </c>
    </row>
    <row r="179" spans="1:7" x14ac:dyDescent="0.2">
      <c r="A179" s="1">
        <v>2015</v>
      </c>
      <c r="B179" s="1">
        <v>17</v>
      </c>
      <c r="C179" s="2" t="s">
        <v>192</v>
      </c>
      <c r="D179" s="2" t="s">
        <v>292</v>
      </c>
      <c r="E179" s="2" t="s">
        <v>293</v>
      </c>
      <c r="F179" s="5" t="s">
        <v>17</v>
      </c>
      <c r="G179" cm="1">
        <f t="array" ref="G179">_xlfn.SWITCH(F179,"🟩 Superstar",5,"🟦 Star / All-Star",4,"🟨 Above-average starter",3,"⬛ Contributor / role player",2,"🟥 Bust",1,"⏳ Too early to tell","")</f>
        <v>1</v>
      </c>
    </row>
    <row r="180" spans="1:7" x14ac:dyDescent="0.2">
      <c r="A180" s="1">
        <v>2016</v>
      </c>
      <c r="B180" s="1">
        <v>17</v>
      </c>
      <c r="C180" s="2" t="s">
        <v>48</v>
      </c>
      <c r="D180" s="2" t="s">
        <v>294</v>
      </c>
      <c r="E180" s="2" t="s">
        <v>118</v>
      </c>
      <c r="F180" s="5" t="s">
        <v>17</v>
      </c>
      <c r="G180" cm="1">
        <f t="array" ref="G180">_xlfn.SWITCH(F180,"🟩 Superstar",5,"🟦 Star / All-Star",4,"🟨 Above-average starter",3,"⬛ Contributor / role player",2,"🟥 Bust",1,"⏳ Too early to tell","")</f>
        <v>1</v>
      </c>
    </row>
    <row r="181" spans="1:7" x14ac:dyDescent="0.2">
      <c r="A181" s="1">
        <v>2017</v>
      </c>
      <c r="B181" s="1">
        <v>17</v>
      </c>
      <c r="C181" s="2" t="s">
        <v>192</v>
      </c>
      <c r="D181" s="2" t="s">
        <v>295</v>
      </c>
      <c r="E181" s="2" t="s">
        <v>165</v>
      </c>
      <c r="F181" s="5" t="s">
        <v>17</v>
      </c>
      <c r="G181" cm="1">
        <f t="array" ref="G181">_xlfn.SWITCH(F181,"🟩 Superstar",5,"🟦 Star / All-Star",4,"🟨 Above-average starter",3,"⬛ Contributor / role player",2,"🟥 Bust",1,"⏳ Too early to tell","")</f>
        <v>1</v>
      </c>
    </row>
    <row r="182" spans="1:7" x14ac:dyDescent="0.2">
      <c r="A182" s="1">
        <v>2018</v>
      </c>
      <c r="B182" s="1">
        <v>17</v>
      </c>
      <c r="C182" s="2" t="s">
        <v>192</v>
      </c>
      <c r="D182" s="2" t="s">
        <v>296</v>
      </c>
      <c r="E182" s="2" t="s">
        <v>197</v>
      </c>
      <c r="F182" s="7" t="s">
        <v>21</v>
      </c>
      <c r="G182" cm="1">
        <f t="array" ref="G182">_xlfn.SWITCH(F182,"🟩 Superstar",5,"🟦 Star / All-Star",4,"🟨 Above-average starter",3,"⬛ Contributor / role player",2,"🟥 Bust",1,"⏳ Too early to tell","")</f>
        <v>3</v>
      </c>
    </row>
    <row r="183" spans="1:7" x14ac:dyDescent="0.2">
      <c r="A183" s="1">
        <v>2019</v>
      </c>
      <c r="B183" s="1">
        <v>17</v>
      </c>
      <c r="C183" s="2" t="s">
        <v>170</v>
      </c>
      <c r="D183" s="2" t="s">
        <v>297</v>
      </c>
      <c r="E183" s="2" t="s">
        <v>298</v>
      </c>
      <c r="F183" s="7" t="s">
        <v>21</v>
      </c>
      <c r="G183" cm="1">
        <f t="array" ref="G183">_xlfn.SWITCH(F183,"🟩 Superstar",5,"🟦 Star / All-Star",4,"🟨 Above-average starter",3,"⬛ Contributor / role player",2,"🟥 Bust",1,"⏳ Too early to tell","")</f>
        <v>3</v>
      </c>
    </row>
    <row r="184" spans="1:7" x14ac:dyDescent="0.2">
      <c r="A184" s="1">
        <v>2020</v>
      </c>
      <c r="B184" s="1">
        <v>17</v>
      </c>
      <c r="C184" s="2" t="s">
        <v>7</v>
      </c>
      <c r="D184" s="2" t="s">
        <v>299</v>
      </c>
      <c r="E184" s="2" t="s">
        <v>234</v>
      </c>
      <c r="F184" s="5" t="s">
        <v>17</v>
      </c>
      <c r="G184" cm="1">
        <f t="array" ref="G184">_xlfn.SWITCH(F184,"🟩 Superstar",5,"🟦 Star / All-Star",4,"🟨 Above-average starter",3,"⬛ Contributor / role player",2,"🟥 Bust",1,"⏳ Too early to tell","")</f>
        <v>1</v>
      </c>
    </row>
    <row r="185" spans="1:7" x14ac:dyDescent="0.2">
      <c r="A185" s="1">
        <v>2021</v>
      </c>
      <c r="B185" s="1">
        <v>17</v>
      </c>
      <c r="C185" s="2" t="s">
        <v>48</v>
      </c>
      <c r="D185" s="2" t="s">
        <v>300</v>
      </c>
      <c r="E185" s="2" t="s">
        <v>98</v>
      </c>
      <c r="F185" s="4" t="s">
        <v>14</v>
      </c>
      <c r="G185" cm="1">
        <f t="array" ref="G185">_xlfn.SWITCH(F185,"🟩 Superstar",5,"🟦 Star / All-Star",4,"🟨 Above-average starter",3,"⬛ Contributor / role player",2,"🟥 Bust",1,"⏳ Too early to tell","")</f>
        <v>4</v>
      </c>
    </row>
    <row r="186" spans="1:7" x14ac:dyDescent="0.2">
      <c r="A186" s="1">
        <v>2022</v>
      </c>
      <c r="B186" s="1">
        <v>17</v>
      </c>
      <c r="C186" s="2" t="s">
        <v>54</v>
      </c>
      <c r="D186" s="2" t="s">
        <v>301</v>
      </c>
      <c r="E186" s="2" t="s">
        <v>13</v>
      </c>
      <c r="F186" s="6" t="s">
        <v>63</v>
      </c>
      <c r="G186" cm="1">
        <f t="array" ref="G186">_xlfn.SWITCH(F186,"🟩 Superstar",5,"🟦 Star / All-Star",4,"🟨 Above-average starter",3,"⬛ Contributor / role player",2,"🟥 Bust",1,"⏳ Too early to tell","")</f>
        <v>2</v>
      </c>
    </row>
    <row r="187" spans="1:7" x14ac:dyDescent="0.2">
      <c r="A187" s="1">
        <v>2023</v>
      </c>
      <c r="B187" s="1">
        <v>17</v>
      </c>
      <c r="C187" s="2" t="s">
        <v>40</v>
      </c>
      <c r="D187" s="2" t="s">
        <v>302</v>
      </c>
      <c r="E187" s="2" t="s">
        <v>257</v>
      </c>
      <c r="F187" s="5" t="s">
        <v>17</v>
      </c>
      <c r="G187" cm="1">
        <f t="array" ref="G187">_xlfn.SWITCH(F187,"🟩 Superstar",5,"🟦 Star / All-Star",4,"🟨 Above-average starter",3,"⬛ Contributor / role player",2,"🟥 Bust",1,"⏳ Too early to tell","")</f>
        <v>1</v>
      </c>
    </row>
    <row r="188" spans="1:7" x14ac:dyDescent="0.2">
      <c r="A188" s="1">
        <v>2024</v>
      </c>
      <c r="B188" s="1">
        <v>17</v>
      </c>
      <c r="C188" s="2" t="s">
        <v>40</v>
      </c>
      <c r="D188" s="2" t="s">
        <v>303</v>
      </c>
      <c r="E188" s="2" t="s">
        <v>304</v>
      </c>
      <c r="F188" s="5" t="s">
        <v>17</v>
      </c>
      <c r="G188" cm="1">
        <f t="array" ref="G188">_xlfn.SWITCH(F188,"🟩 Superstar",5,"🟦 Star / All-Star",4,"🟨 Above-average starter",3,"⬛ Contributor / role player",2,"🟥 Bust",1,"⏳ Too early to tell","")</f>
        <v>1</v>
      </c>
    </row>
    <row r="189" spans="1:7" x14ac:dyDescent="0.2">
      <c r="A189" s="1">
        <v>2025</v>
      </c>
      <c r="B189" s="1">
        <v>17</v>
      </c>
      <c r="C189" s="2" t="s">
        <v>7</v>
      </c>
      <c r="D189" s="2" t="s">
        <v>305</v>
      </c>
      <c r="E189" s="2" t="s">
        <v>34</v>
      </c>
      <c r="F189" s="8" t="s">
        <v>37</v>
      </c>
      <c r="G189" t="str" cm="1">
        <f t="array" ref="G189">_xlfn.SWITCH(F189,"🟩 Superstar",5,"🟦 Star / All-Star",4,"🟨 Above-average starter",3,"⬛ Contributor / role player",2,"🟥 Bust",1,"⏳ Too early to tell","")</f>
        <v/>
      </c>
    </row>
    <row r="190" spans="1:7" x14ac:dyDescent="0.2">
      <c r="A190" s="1">
        <v>2015</v>
      </c>
      <c r="B190" s="1">
        <v>18</v>
      </c>
      <c r="C190" s="2" t="s">
        <v>54</v>
      </c>
      <c r="D190" s="2" t="s">
        <v>306</v>
      </c>
      <c r="E190" s="2" t="s">
        <v>174</v>
      </c>
      <c r="F190" s="6" t="s">
        <v>63</v>
      </c>
      <c r="G190" cm="1">
        <f t="array" ref="G190">_xlfn.SWITCH(F190,"🟩 Superstar",5,"🟦 Star / All-Star",4,"🟨 Above-average starter",3,"⬛ Contributor / role player",2,"🟥 Bust",1,"⏳ Too early to tell","")</f>
        <v>2</v>
      </c>
    </row>
    <row r="191" spans="1:7" x14ac:dyDescent="0.2">
      <c r="A191" s="1">
        <v>2016</v>
      </c>
      <c r="B191" s="1">
        <v>18</v>
      </c>
      <c r="C191" s="2" t="s">
        <v>27</v>
      </c>
      <c r="D191" s="2" t="s">
        <v>307</v>
      </c>
      <c r="E191" s="2" t="s">
        <v>308</v>
      </c>
      <c r="F191" s="5" t="s">
        <v>17</v>
      </c>
      <c r="G191" cm="1">
        <f t="array" ref="G191">_xlfn.SWITCH(F191,"🟩 Superstar",5,"🟦 Star / All-Star",4,"🟨 Above-average starter",3,"⬛ Contributor / role player",2,"🟥 Bust",1,"⏳ Too early to tell","")</f>
        <v>1</v>
      </c>
    </row>
    <row r="192" spans="1:7" x14ac:dyDescent="0.2">
      <c r="A192" s="1">
        <v>2017</v>
      </c>
      <c r="B192" s="1">
        <v>18</v>
      </c>
      <c r="C192" s="2" t="s">
        <v>137</v>
      </c>
      <c r="D192" s="2" t="s">
        <v>309</v>
      </c>
      <c r="E192" s="2" t="s">
        <v>45</v>
      </c>
      <c r="F192" s="5" t="s">
        <v>17</v>
      </c>
      <c r="G192" cm="1">
        <f t="array" ref="G192">_xlfn.SWITCH(F192,"🟩 Superstar",5,"🟦 Star / All-Star",4,"🟨 Above-average starter",3,"⬛ Contributor / role player",2,"🟥 Bust",1,"⏳ Too early to tell","")</f>
        <v>1</v>
      </c>
    </row>
    <row r="193" spans="1:7" x14ac:dyDescent="0.2">
      <c r="A193" s="1">
        <v>2018</v>
      </c>
      <c r="B193" s="1">
        <v>18</v>
      </c>
      <c r="C193" s="2" t="s">
        <v>32</v>
      </c>
      <c r="D193" s="2" t="s">
        <v>310</v>
      </c>
      <c r="E193" s="2" t="s">
        <v>311</v>
      </c>
      <c r="F193" s="6" t="s">
        <v>63</v>
      </c>
      <c r="G193" cm="1">
        <f t="array" ref="G193">_xlfn.SWITCH(F193,"🟩 Superstar",5,"🟦 Star / All-Star",4,"🟨 Above-average starter",3,"⬛ Contributor / role player",2,"🟥 Bust",1,"⏳ Too early to tell","")</f>
        <v>2</v>
      </c>
    </row>
    <row r="194" spans="1:7" x14ac:dyDescent="0.2">
      <c r="A194" s="1">
        <v>2019</v>
      </c>
      <c r="B194" s="1">
        <v>18</v>
      </c>
      <c r="C194" s="2" t="s">
        <v>137</v>
      </c>
      <c r="D194" s="2" t="s">
        <v>312</v>
      </c>
      <c r="E194" s="2" t="s">
        <v>313</v>
      </c>
      <c r="F194" s="6" t="s">
        <v>63</v>
      </c>
      <c r="G194" cm="1">
        <f t="array" ref="G194">_xlfn.SWITCH(F194,"🟩 Superstar",5,"🟦 Star / All-Star",4,"🟨 Above-average starter",3,"⬛ Contributor / role player",2,"🟥 Bust",1,"⏳ Too early to tell","")</f>
        <v>2</v>
      </c>
    </row>
    <row r="195" spans="1:7" x14ac:dyDescent="0.2">
      <c r="A195" s="1">
        <v>2020</v>
      </c>
      <c r="B195" s="1">
        <v>18</v>
      </c>
      <c r="C195" s="2" t="s">
        <v>38</v>
      </c>
      <c r="D195" s="2" t="s">
        <v>314</v>
      </c>
      <c r="E195" s="2" t="s">
        <v>20</v>
      </c>
      <c r="F195" s="6" t="s">
        <v>63</v>
      </c>
      <c r="G195" cm="1">
        <f t="array" ref="G195">_xlfn.SWITCH(F195,"🟩 Superstar",5,"🟦 Star / All-Star",4,"🟨 Above-average starter",3,"⬛ Contributor / role player",2,"🟥 Bust",1,"⏳ Too early to tell","")</f>
        <v>2</v>
      </c>
    </row>
    <row r="196" spans="1:7" x14ac:dyDescent="0.2">
      <c r="A196" s="1">
        <v>2021</v>
      </c>
      <c r="B196" s="1">
        <v>18</v>
      </c>
      <c r="C196" s="2" t="s">
        <v>57</v>
      </c>
      <c r="D196" s="2" t="s">
        <v>315</v>
      </c>
      <c r="E196" s="2" t="s">
        <v>316</v>
      </c>
      <c r="F196" s="6" t="s">
        <v>63</v>
      </c>
      <c r="G196" cm="1">
        <f t="array" ref="G196">_xlfn.SWITCH(F196,"🟩 Superstar",5,"🟦 Star / All-Star",4,"🟨 Above-average starter",3,"⬛ Contributor / role player",2,"🟥 Bust",1,"⏳ Too early to tell","")</f>
        <v>2</v>
      </c>
    </row>
    <row r="197" spans="1:7" x14ac:dyDescent="0.2">
      <c r="A197" s="1">
        <v>2022</v>
      </c>
      <c r="B197" s="1">
        <v>18</v>
      </c>
      <c r="C197" s="2" t="s">
        <v>99</v>
      </c>
      <c r="D197" s="2" t="s">
        <v>317</v>
      </c>
      <c r="E197" s="2" t="s">
        <v>20</v>
      </c>
      <c r="F197" s="5" t="s">
        <v>17</v>
      </c>
      <c r="G197" cm="1">
        <f t="array" ref="G197">_xlfn.SWITCH(F197,"🟩 Superstar",5,"🟦 Star / All-Star",4,"🟨 Above-average starter",3,"⬛ Contributor / role player",2,"🟥 Bust",1,"⏳ Too early to tell","")</f>
        <v>1</v>
      </c>
    </row>
    <row r="198" spans="1:7" x14ac:dyDescent="0.2">
      <c r="A198" s="1">
        <v>2023</v>
      </c>
      <c r="B198" s="1">
        <v>18</v>
      </c>
      <c r="C198" s="2" t="s">
        <v>190</v>
      </c>
      <c r="D198" s="2" t="s">
        <v>318</v>
      </c>
      <c r="E198" s="2" t="s">
        <v>45</v>
      </c>
      <c r="F198" s="6" t="s">
        <v>63</v>
      </c>
      <c r="G198" cm="1">
        <f t="array" ref="G198">_xlfn.SWITCH(F198,"🟩 Superstar",5,"🟦 Star / All-Star",4,"🟨 Above-average starter",3,"⬛ Contributor / role player",2,"🟥 Bust",1,"⏳ Too early to tell","")</f>
        <v>2</v>
      </c>
    </row>
    <row r="199" spans="1:7" x14ac:dyDescent="0.2">
      <c r="A199" s="1">
        <v>2024</v>
      </c>
      <c r="B199" s="1">
        <v>18</v>
      </c>
      <c r="C199" s="2" t="s">
        <v>30</v>
      </c>
      <c r="D199" s="2" t="s">
        <v>319</v>
      </c>
      <c r="E199" s="2" t="s">
        <v>206</v>
      </c>
      <c r="F199" s="8" t="s">
        <v>37</v>
      </c>
      <c r="G199" t="str" cm="1">
        <f t="array" ref="G199">_xlfn.SWITCH(F199,"🟩 Superstar",5,"🟦 Star / All-Star",4,"🟨 Above-average starter",3,"⬛ Contributor / role player",2,"🟥 Bust",1,"⏳ Too early to tell","")</f>
        <v/>
      </c>
    </row>
    <row r="200" spans="1:7" x14ac:dyDescent="0.2">
      <c r="A200" s="1">
        <v>2025</v>
      </c>
      <c r="B200" s="1">
        <v>18</v>
      </c>
      <c r="C200" s="2" t="s">
        <v>64</v>
      </c>
      <c r="D200" s="2" t="s">
        <v>320</v>
      </c>
      <c r="E200" s="2" t="s">
        <v>316</v>
      </c>
      <c r="F200" s="8" t="s">
        <v>37</v>
      </c>
      <c r="G200" t="str" cm="1">
        <f t="array" ref="G200">_xlfn.SWITCH(F200,"🟩 Superstar",5,"🟦 Star / All-Star",4,"🟨 Above-average starter",3,"⬛ Contributor / role player",2,"🟥 Bust",1,"⏳ Too early to tell","")</f>
        <v/>
      </c>
    </row>
    <row r="201" spans="1:7" x14ac:dyDescent="0.2">
      <c r="A201" s="1">
        <v>2015</v>
      </c>
      <c r="B201" s="1">
        <v>19</v>
      </c>
      <c r="C201" s="2" t="s">
        <v>64</v>
      </c>
      <c r="D201" s="2" t="s">
        <v>321</v>
      </c>
      <c r="E201" s="2" t="s">
        <v>322</v>
      </c>
      <c r="F201" s="5" t="s">
        <v>17</v>
      </c>
      <c r="G201" cm="1">
        <f t="array" ref="G201">_xlfn.SWITCH(F201,"🟩 Superstar",5,"🟦 Star / All-Star",4,"🟨 Above-average starter",3,"⬛ Contributor / role player",2,"🟥 Bust",1,"⏳ Too early to tell","")</f>
        <v>1</v>
      </c>
    </row>
    <row r="202" spans="1:7" x14ac:dyDescent="0.2">
      <c r="A202" s="1">
        <v>2016</v>
      </c>
      <c r="B202" s="1">
        <v>19</v>
      </c>
      <c r="C202" s="2" t="s">
        <v>143</v>
      </c>
      <c r="D202" s="2" t="s">
        <v>323</v>
      </c>
      <c r="E202" s="2" t="s">
        <v>101</v>
      </c>
      <c r="F202" s="7" t="s">
        <v>21</v>
      </c>
      <c r="G202" cm="1">
        <f t="array" ref="G202">_xlfn.SWITCH(F202,"🟩 Superstar",5,"🟦 Star / All-Star",4,"🟨 Above-average starter",3,"⬛ Contributor / role player",2,"🟥 Bust",1,"⏳ Too early to tell","")</f>
        <v>3</v>
      </c>
    </row>
    <row r="203" spans="1:7" x14ac:dyDescent="0.2">
      <c r="A203" s="1">
        <v>2017</v>
      </c>
      <c r="B203" s="1">
        <v>19</v>
      </c>
      <c r="C203" s="2" t="s">
        <v>35</v>
      </c>
      <c r="D203" s="2" t="s">
        <v>324</v>
      </c>
      <c r="E203" s="2" t="s">
        <v>325</v>
      </c>
      <c r="F203" s="7" t="s">
        <v>21</v>
      </c>
      <c r="G203" cm="1">
        <f t="array" ref="G203">_xlfn.SWITCH(F203,"🟩 Superstar",5,"🟦 Star / All-Star",4,"🟨 Above-average starter",3,"⬛ Contributor / role player",2,"🟥 Bust",1,"⏳ Too early to tell","")</f>
        <v>3</v>
      </c>
    </row>
    <row r="204" spans="1:7" x14ac:dyDescent="0.2">
      <c r="A204" s="1">
        <v>2018</v>
      </c>
      <c r="B204" s="1">
        <v>19</v>
      </c>
      <c r="C204" s="2" t="s">
        <v>35</v>
      </c>
      <c r="D204" s="2" t="s">
        <v>326</v>
      </c>
      <c r="E204" s="2" t="s">
        <v>200</v>
      </c>
      <c r="F204" s="6" t="s">
        <v>63</v>
      </c>
      <c r="G204" cm="1">
        <f t="array" ref="G204">_xlfn.SWITCH(F204,"🟩 Superstar",5,"🟦 Star / All-Star",4,"🟨 Above-average starter",3,"⬛ Contributor / role player",2,"🟥 Bust",1,"⏳ Too early to tell","")</f>
        <v>2</v>
      </c>
    </row>
    <row r="205" spans="1:7" x14ac:dyDescent="0.2">
      <c r="A205" s="1">
        <v>2019</v>
      </c>
      <c r="B205" s="1">
        <v>19</v>
      </c>
      <c r="C205" s="2" t="s">
        <v>32</v>
      </c>
      <c r="D205" s="2" t="s">
        <v>327</v>
      </c>
      <c r="E205" s="2" t="s">
        <v>92</v>
      </c>
      <c r="F205" s="5" t="s">
        <v>17</v>
      </c>
      <c r="G205" cm="1">
        <f t="array" ref="G205">_xlfn.SWITCH(F205,"🟩 Superstar",5,"🟦 Star / All-Star",4,"🟨 Above-average starter",3,"⬛ Contributor / role player",2,"🟥 Bust",1,"⏳ Too early to tell","")</f>
        <v>1</v>
      </c>
    </row>
    <row r="206" spans="1:7" x14ac:dyDescent="0.2">
      <c r="A206" s="1">
        <v>2020</v>
      </c>
      <c r="B206" s="1">
        <v>19</v>
      </c>
      <c r="C206" s="2" t="s">
        <v>170</v>
      </c>
      <c r="D206" s="2" t="s">
        <v>328</v>
      </c>
      <c r="E206" s="2" t="s">
        <v>197</v>
      </c>
      <c r="F206" s="7" t="s">
        <v>21</v>
      </c>
      <c r="G206" cm="1">
        <f t="array" ref="G206">_xlfn.SWITCH(F206,"🟩 Superstar",5,"🟦 Star / All-Star",4,"🟨 Above-average starter",3,"⬛ Contributor / role player",2,"🟥 Bust",1,"⏳ Too early to tell","")</f>
        <v>3</v>
      </c>
    </row>
    <row r="207" spans="1:7" x14ac:dyDescent="0.2">
      <c r="A207" s="1">
        <v>2021</v>
      </c>
      <c r="B207" s="1">
        <v>19</v>
      </c>
      <c r="C207" s="2" t="s">
        <v>75</v>
      </c>
      <c r="D207" s="2" t="s">
        <v>329</v>
      </c>
      <c r="E207" s="2" t="s">
        <v>131</v>
      </c>
      <c r="F207" s="5" t="s">
        <v>17</v>
      </c>
      <c r="G207" cm="1">
        <f t="array" ref="G207">_xlfn.SWITCH(F207,"🟩 Superstar",5,"🟦 Star / All-Star",4,"🟨 Above-average starter",3,"⬛ Contributor / role player",2,"🟥 Bust",1,"⏳ Too early to tell","")</f>
        <v>1</v>
      </c>
    </row>
    <row r="208" spans="1:7" x14ac:dyDescent="0.2">
      <c r="A208" s="1">
        <v>2022</v>
      </c>
      <c r="B208" s="1">
        <v>19</v>
      </c>
      <c r="C208" s="2" t="s">
        <v>7</v>
      </c>
      <c r="D208" s="2" t="s">
        <v>330</v>
      </c>
      <c r="E208" s="2" t="s">
        <v>325</v>
      </c>
      <c r="F208" s="6" t="s">
        <v>63</v>
      </c>
      <c r="G208" cm="1">
        <f t="array" ref="G208">_xlfn.SWITCH(F208,"🟩 Superstar",5,"🟦 Star / All-Star",4,"🟨 Above-average starter",3,"⬛ Contributor / role player",2,"🟥 Bust",1,"⏳ Too early to tell","")</f>
        <v>2</v>
      </c>
    </row>
    <row r="209" spans="1:7" x14ac:dyDescent="0.2">
      <c r="A209" s="1">
        <v>2023</v>
      </c>
      <c r="B209" s="1">
        <v>19</v>
      </c>
      <c r="C209" s="2" t="s">
        <v>51</v>
      </c>
      <c r="D209" s="2" t="s">
        <v>331</v>
      </c>
      <c r="E209" s="2" t="s">
        <v>231</v>
      </c>
      <c r="F209" s="7" t="s">
        <v>21</v>
      </c>
      <c r="G209" cm="1">
        <f t="array" ref="G209">_xlfn.SWITCH(F209,"🟩 Superstar",5,"🟦 Star / All-Star",4,"🟨 Above-average starter",3,"⬛ Contributor / role player",2,"🟥 Bust",1,"⏳ Too early to tell","")</f>
        <v>3</v>
      </c>
    </row>
    <row r="210" spans="1:7" x14ac:dyDescent="0.2">
      <c r="A210" s="1">
        <v>2024</v>
      </c>
      <c r="B210" s="1">
        <v>19</v>
      </c>
      <c r="C210" s="2" t="s">
        <v>102</v>
      </c>
      <c r="D210" s="2" t="s">
        <v>332</v>
      </c>
      <c r="E210" s="2" t="s">
        <v>88</v>
      </c>
      <c r="F210" s="8" t="s">
        <v>37</v>
      </c>
      <c r="G210" t="str" cm="1">
        <f t="array" ref="G210">_xlfn.SWITCH(F210,"🟩 Superstar",5,"🟦 Star / All-Star",4,"🟨 Above-average starter",3,"⬛ Contributor / role player",2,"🟥 Bust",1,"⏳ Too early to tell","")</f>
        <v/>
      </c>
    </row>
    <row r="211" spans="1:7" x14ac:dyDescent="0.2">
      <c r="A211" s="1">
        <v>2025</v>
      </c>
      <c r="B211" s="1">
        <v>19</v>
      </c>
      <c r="C211" s="2" t="s">
        <v>170</v>
      </c>
      <c r="D211" s="2" t="s">
        <v>333</v>
      </c>
      <c r="E211" s="2" t="s">
        <v>34</v>
      </c>
      <c r="F211" s="8" t="s">
        <v>37</v>
      </c>
      <c r="G211" t="str" cm="1">
        <f t="array" ref="G211">_xlfn.SWITCH(F211,"🟩 Superstar",5,"🟦 Star / All-Star",4,"🟨 Above-average starter",3,"⬛ Contributor / role player",2,"🟥 Bust",1,"⏳ Too early to tell","")</f>
        <v/>
      </c>
    </row>
    <row r="212" spans="1:7" x14ac:dyDescent="0.2">
      <c r="A212" s="1">
        <v>2015</v>
      </c>
      <c r="B212" s="1">
        <v>20</v>
      </c>
      <c r="C212" s="2" t="s">
        <v>102</v>
      </c>
      <c r="D212" s="2" t="s">
        <v>334</v>
      </c>
      <c r="E212" s="2" t="s">
        <v>176</v>
      </c>
      <c r="F212" s="6" t="s">
        <v>63</v>
      </c>
      <c r="G212" cm="1">
        <f t="array" ref="G212">_xlfn.SWITCH(F212,"🟩 Superstar",5,"🟦 Star / All-Star",4,"🟨 Above-average starter",3,"⬛ Contributor / role player",2,"🟥 Bust",1,"⏳ Too early to tell","")</f>
        <v>2</v>
      </c>
    </row>
    <row r="213" spans="1:7" x14ac:dyDescent="0.2">
      <c r="A213" s="1">
        <v>2016</v>
      </c>
      <c r="B213" s="1">
        <v>20</v>
      </c>
      <c r="C213" s="2" t="s">
        <v>137</v>
      </c>
      <c r="D213" s="2" t="s">
        <v>335</v>
      </c>
      <c r="E213" s="2" t="s">
        <v>165</v>
      </c>
      <c r="F213" s="7" t="s">
        <v>21</v>
      </c>
      <c r="G213" cm="1">
        <f t="array" ref="G213">_xlfn.SWITCH(F213,"🟩 Superstar",5,"🟦 Star / All-Star",4,"🟨 Above-average starter",3,"⬛ Contributor / role player",2,"🟥 Bust",1,"⏳ Too early to tell","")</f>
        <v>3</v>
      </c>
    </row>
    <row r="214" spans="1:7" x14ac:dyDescent="0.2">
      <c r="A214" s="1">
        <v>2017</v>
      </c>
      <c r="B214" s="1">
        <v>20</v>
      </c>
      <c r="C214" s="2" t="s">
        <v>84</v>
      </c>
      <c r="D214" s="2" t="s">
        <v>336</v>
      </c>
      <c r="E214" s="2" t="s">
        <v>24</v>
      </c>
      <c r="F214" s="5" t="s">
        <v>17</v>
      </c>
      <c r="G214" cm="1">
        <f t="array" ref="G214">_xlfn.SWITCH(F214,"🟩 Superstar",5,"🟦 Star / All-Star",4,"🟨 Above-average starter",3,"⬛ Contributor / role player",2,"🟥 Bust",1,"⏳ Too early to tell","")</f>
        <v>1</v>
      </c>
    </row>
    <row r="215" spans="1:7" x14ac:dyDescent="0.2">
      <c r="A215" s="1">
        <v>2018</v>
      </c>
      <c r="B215" s="1">
        <v>20</v>
      </c>
      <c r="C215" s="2" t="s">
        <v>7</v>
      </c>
      <c r="D215" s="2" t="s">
        <v>337</v>
      </c>
      <c r="E215" s="2" t="s">
        <v>338</v>
      </c>
      <c r="F215" s="6" t="s">
        <v>63</v>
      </c>
      <c r="G215" cm="1">
        <f t="array" ref="G215">_xlfn.SWITCH(F215,"🟩 Superstar",5,"🟦 Star / All-Star",4,"🟨 Above-average starter",3,"⬛ Contributor / role player",2,"🟥 Bust",1,"⏳ Too early to tell","")</f>
        <v>2</v>
      </c>
    </row>
    <row r="216" spans="1:7" x14ac:dyDescent="0.2">
      <c r="A216" s="1">
        <v>2019</v>
      </c>
      <c r="B216" s="1">
        <v>20</v>
      </c>
      <c r="C216" s="2" t="s">
        <v>69</v>
      </c>
      <c r="D216" s="2" t="s">
        <v>339</v>
      </c>
      <c r="E216" s="2" t="s">
        <v>16</v>
      </c>
      <c r="F216" s="6" t="s">
        <v>63</v>
      </c>
      <c r="G216" cm="1">
        <f t="array" ref="G216">_xlfn.SWITCH(F216,"🟩 Superstar",5,"🟦 Star / All-Star",4,"🟨 Above-average starter",3,"⬛ Contributor / role player",2,"🟥 Bust",1,"⏳ Too early to tell","")</f>
        <v>2</v>
      </c>
    </row>
    <row r="217" spans="1:7" x14ac:dyDescent="0.2">
      <c r="A217" s="1">
        <v>2020</v>
      </c>
      <c r="B217" s="1">
        <v>20</v>
      </c>
      <c r="C217" s="2" t="s">
        <v>190</v>
      </c>
      <c r="D217" s="2" t="s">
        <v>340</v>
      </c>
      <c r="E217" s="2" t="s">
        <v>53</v>
      </c>
      <c r="F217" s="6" t="s">
        <v>63</v>
      </c>
      <c r="G217" cm="1">
        <f t="array" ref="G217">_xlfn.SWITCH(F217,"🟩 Superstar",5,"🟦 Star / All-Star",4,"🟨 Above-average starter",3,"⬛ Contributor / role player",2,"🟥 Bust",1,"⏳ Too early to tell","")</f>
        <v>2</v>
      </c>
    </row>
    <row r="218" spans="1:7" x14ac:dyDescent="0.2">
      <c r="A218" s="1">
        <v>2021</v>
      </c>
      <c r="B218" s="1">
        <v>20</v>
      </c>
      <c r="C218" s="2" t="s">
        <v>35</v>
      </c>
      <c r="D218" s="2" t="s">
        <v>341</v>
      </c>
      <c r="E218" s="2" t="s">
        <v>24</v>
      </c>
      <c r="F218" s="4" t="s">
        <v>14</v>
      </c>
      <c r="G218" cm="1">
        <f t="array" ref="G218">_xlfn.SWITCH(F218,"🟩 Superstar",5,"🟦 Star / All-Star",4,"🟨 Above-average starter",3,"⬛ Contributor / role player",2,"🟥 Bust",1,"⏳ Too early to tell","")</f>
        <v>4</v>
      </c>
    </row>
    <row r="219" spans="1:7" x14ac:dyDescent="0.2">
      <c r="A219" s="1">
        <v>2022</v>
      </c>
      <c r="B219" s="1">
        <v>20</v>
      </c>
      <c r="C219" s="2" t="s">
        <v>32</v>
      </c>
      <c r="D219" s="2" t="s">
        <v>342</v>
      </c>
      <c r="E219" s="2" t="s">
        <v>42</v>
      </c>
      <c r="F219" s="5" t="s">
        <v>17</v>
      </c>
      <c r="G219" cm="1">
        <f t="array" ref="G219">_xlfn.SWITCH(F219,"🟩 Superstar",5,"🟦 Star / All-Star",4,"🟨 Above-average starter",3,"⬛ Contributor / role player",2,"🟥 Bust",1,"⏳ Too early to tell","")</f>
        <v>1</v>
      </c>
    </row>
    <row r="220" spans="1:7" x14ac:dyDescent="0.2">
      <c r="A220" s="1">
        <v>2023</v>
      </c>
      <c r="B220" s="1">
        <v>20</v>
      </c>
      <c r="C220" s="2" t="s">
        <v>54</v>
      </c>
      <c r="D220" s="2" t="s">
        <v>343</v>
      </c>
      <c r="E220" s="2" t="s">
        <v>197</v>
      </c>
      <c r="F220" s="6" t="s">
        <v>63</v>
      </c>
      <c r="G220" cm="1">
        <f t="array" ref="G220">_xlfn.SWITCH(F220,"🟩 Superstar",5,"🟦 Star / All-Star",4,"🟨 Above-average starter",3,"⬛ Contributor / role player",2,"🟥 Bust",1,"⏳ Too early to tell","")</f>
        <v>2</v>
      </c>
    </row>
    <row r="221" spans="1:7" x14ac:dyDescent="0.2">
      <c r="A221" s="1">
        <v>2024</v>
      </c>
      <c r="B221" s="1">
        <v>20</v>
      </c>
      <c r="C221" s="2" t="s">
        <v>79</v>
      </c>
      <c r="D221" s="2" t="s">
        <v>344</v>
      </c>
      <c r="E221" s="2" t="s">
        <v>71</v>
      </c>
      <c r="F221" s="8" t="s">
        <v>37</v>
      </c>
      <c r="G221" t="str" cm="1">
        <f t="array" ref="G221">_xlfn.SWITCH(F221,"🟩 Superstar",5,"🟦 Star / All-Star",4,"🟨 Above-average starter",3,"⬛ Contributor / role player",2,"🟥 Bust",1,"⏳ Too early to tell","")</f>
        <v/>
      </c>
    </row>
    <row r="222" spans="1:7" x14ac:dyDescent="0.2">
      <c r="A222" s="1">
        <v>2025</v>
      </c>
      <c r="B222" s="1">
        <v>20</v>
      </c>
      <c r="C222" s="2" t="s">
        <v>190</v>
      </c>
      <c r="D222" s="2" t="s">
        <v>345</v>
      </c>
      <c r="E222" s="2" t="s">
        <v>346</v>
      </c>
      <c r="F222" s="8" t="s">
        <v>37</v>
      </c>
      <c r="G222" t="str" cm="1">
        <f t="array" ref="G222">_xlfn.SWITCH(F222,"🟩 Superstar",5,"🟦 Star / All-Star",4,"🟨 Above-average starter",3,"⬛ Contributor / role player",2,"🟥 Bust",1,"⏳ Too early to tell","")</f>
        <v/>
      </c>
    </row>
    <row r="223" spans="1:7" x14ac:dyDescent="0.2">
      <c r="A223" s="1">
        <v>2015</v>
      </c>
      <c r="B223" s="1">
        <v>21</v>
      </c>
      <c r="C223" s="2" t="s">
        <v>38</v>
      </c>
      <c r="D223" s="2" t="s">
        <v>347</v>
      </c>
      <c r="E223" s="2" t="s">
        <v>98</v>
      </c>
      <c r="F223" s="5" t="s">
        <v>17</v>
      </c>
      <c r="G223" cm="1">
        <f t="array" ref="G223">_xlfn.SWITCH(F223,"🟩 Superstar",5,"🟦 Star / All-Star",4,"🟨 Above-average starter",3,"⬛ Contributor / role player",2,"🟥 Bust",1,"⏳ Too early to tell","")</f>
        <v>1</v>
      </c>
    </row>
    <row r="224" spans="1:7" x14ac:dyDescent="0.2">
      <c r="A224" s="1">
        <v>2016</v>
      </c>
      <c r="B224" s="1">
        <v>21</v>
      </c>
      <c r="C224" s="2" t="s">
        <v>35</v>
      </c>
      <c r="D224" s="2" t="s">
        <v>348</v>
      </c>
      <c r="E224" s="2" t="s">
        <v>349</v>
      </c>
      <c r="F224" s="6" t="s">
        <v>63</v>
      </c>
      <c r="G224" cm="1">
        <f t="array" ref="G224">_xlfn.SWITCH(F224,"🟩 Superstar",5,"🟦 Star / All-Star",4,"🟨 Above-average starter",3,"⬛ Contributor / role player",2,"🟥 Bust",1,"⏳ Too early to tell","")</f>
        <v>2</v>
      </c>
    </row>
    <row r="225" spans="1:7" x14ac:dyDescent="0.2">
      <c r="A225" s="1">
        <v>2017</v>
      </c>
      <c r="B225" s="1">
        <v>21</v>
      </c>
      <c r="C225" s="2" t="s">
        <v>57</v>
      </c>
      <c r="D225" s="2" t="s">
        <v>350</v>
      </c>
      <c r="E225" s="2" t="s">
        <v>194</v>
      </c>
      <c r="F225" s="5" t="s">
        <v>17</v>
      </c>
      <c r="G225" cm="1">
        <f t="array" ref="G225">_xlfn.SWITCH(F225,"🟩 Superstar",5,"🟦 Star / All-Star",4,"🟨 Above-average starter",3,"⬛ Contributor / role player",2,"🟥 Bust",1,"⏳ Too early to tell","")</f>
        <v>1</v>
      </c>
    </row>
    <row r="226" spans="1:7" x14ac:dyDescent="0.2">
      <c r="A226" s="1">
        <v>2018</v>
      </c>
      <c r="B226" s="1">
        <v>21</v>
      </c>
      <c r="C226" s="2" t="s">
        <v>125</v>
      </c>
      <c r="D226" s="2" t="s">
        <v>351</v>
      </c>
      <c r="E226" s="2" t="s">
        <v>24</v>
      </c>
      <c r="F226" s="6" t="s">
        <v>63</v>
      </c>
      <c r="G226" cm="1">
        <f t="array" ref="G226">_xlfn.SWITCH(F226,"🟩 Superstar",5,"🟦 Star / All-Star",4,"🟨 Above-average starter",3,"⬛ Contributor / role player",2,"🟥 Bust",1,"⏳ Too early to tell","")</f>
        <v>2</v>
      </c>
    </row>
    <row r="227" spans="1:7" x14ac:dyDescent="0.2">
      <c r="A227" s="1">
        <v>2019</v>
      </c>
      <c r="B227" s="1">
        <v>21</v>
      </c>
      <c r="C227" s="2" t="s">
        <v>57</v>
      </c>
      <c r="D227" s="2" t="s">
        <v>352</v>
      </c>
      <c r="E227" s="2" t="s">
        <v>59</v>
      </c>
      <c r="F227" s="6" t="s">
        <v>63</v>
      </c>
      <c r="G227" cm="1">
        <f t="array" ref="G227">_xlfn.SWITCH(F227,"🟩 Superstar",5,"🟦 Star / All-Star",4,"🟨 Above-average starter",3,"⬛ Contributor / role player",2,"🟥 Bust",1,"⏳ Too early to tell","")</f>
        <v>2</v>
      </c>
    </row>
    <row r="228" spans="1:7" x14ac:dyDescent="0.2">
      <c r="A228" s="1">
        <v>2020</v>
      </c>
      <c r="B228" s="1">
        <v>21</v>
      </c>
      <c r="C228" s="2" t="s">
        <v>11</v>
      </c>
      <c r="D228" s="2" t="s">
        <v>353</v>
      </c>
      <c r="E228" s="2" t="s">
        <v>9</v>
      </c>
      <c r="F228" s="3" t="s">
        <v>10</v>
      </c>
      <c r="G228" cm="1">
        <f t="array" ref="G228">_xlfn.SWITCH(F228,"🟩 Superstar",5,"🟦 Star / All-Star",4,"🟨 Above-average starter",3,"⬛ Contributor / role player",2,"🟥 Bust",1,"⏳ Too early to tell","")</f>
        <v>5</v>
      </c>
    </row>
    <row r="229" spans="1:7" x14ac:dyDescent="0.2">
      <c r="A229" s="1">
        <v>2021</v>
      </c>
      <c r="B229" s="1">
        <v>21</v>
      </c>
      <c r="C229" s="2" t="s">
        <v>75</v>
      </c>
      <c r="D229" s="2" t="s">
        <v>354</v>
      </c>
      <c r="E229" s="2" t="s">
        <v>304</v>
      </c>
      <c r="F229" s="5" t="s">
        <v>17</v>
      </c>
      <c r="G229" cm="1">
        <f t="array" ref="G229">_xlfn.SWITCH(F229,"🟩 Superstar",5,"🟦 Star / All-Star",4,"🟨 Above-average starter",3,"⬛ Contributor / role player",2,"🟥 Bust",1,"⏳ Too early to tell","")</f>
        <v>1</v>
      </c>
    </row>
    <row r="230" spans="1:7" x14ac:dyDescent="0.2">
      <c r="A230" s="1">
        <v>2022</v>
      </c>
      <c r="B230" s="1">
        <v>21</v>
      </c>
      <c r="C230" s="2" t="s">
        <v>143</v>
      </c>
      <c r="D230" s="2" t="s">
        <v>355</v>
      </c>
      <c r="E230" s="2" t="s">
        <v>94</v>
      </c>
      <c r="F230" s="7" t="s">
        <v>21</v>
      </c>
      <c r="G230" cm="1">
        <f t="array" ref="G230">_xlfn.SWITCH(F230,"🟩 Superstar",5,"🟦 Star / All-Star",4,"🟨 Above-average starter",3,"⬛ Contributor / role player",2,"🟥 Bust",1,"⏳ Too early to tell","")</f>
        <v>3</v>
      </c>
    </row>
    <row r="231" spans="1:7" x14ac:dyDescent="0.2">
      <c r="A231" s="1">
        <v>2023</v>
      </c>
      <c r="B231" s="1">
        <v>21</v>
      </c>
      <c r="C231" s="2" t="s">
        <v>170</v>
      </c>
      <c r="D231" s="2" t="s">
        <v>356</v>
      </c>
      <c r="E231" s="2" t="s">
        <v>62</v>
      </c>
      <c r="F231" s="6" t="s">
        <v>63</v>
      </c>
      <c r="G231" cm="1">
        <f t="array" ref="G231">_xlfn.SWITCH(F231,"🟩 Superstar",5,"🟦 Star / All-Star",4,"🟨 Above-average starter",3,"⬛ Contributor / role player",2,"🟥 Bust",1,"⏳ Too early to tell","")</f>
        <v>2</v>
      </c>
    </row>
    <row r="232" spans="1:7" x14ac:dyDescent="0.2">
      <c r="A232" s="1">
        <v>2024</v>
      </c>
      <c r="B232" s="1">
        <v>21</v>
      </c>
      <c r="C232" s="2" t="s">
        <v>22</v>
      </c>
      <c r="D232" s="2" t="s">
        <v>357</v>
      </c>
      <c r="E232" s="2" t="s">
        <v>88</v>
      </c>
      <c r="F232" s="8" t="s">
        <v>37</v>
      </c>
      <c r="G232" t="str" cm="1">
        <f t="array" ref="G232">_xlfn.SWITCH(F232,"🟩 Superstar",5,"🟦 Star / All-Star",4,"🟨 Above-average starter",3,"⬛ Contributor / role player",2,"🟥 Bust",1,"⏳ Too early to tell","")</f>
        <v/>
      </c>
    </row>
    <row r="233" spans="1:7" x14ac:dyDescent="0.2">
      <c r="A233" s="1">
        <v>2025</v>
      </c>
      <c r="B233" s="1">
        <v>21</v>
      </c>
      <c r="C233" s="2" t="s">
        <v>125</v>
      </c>
      <c r="D233" s="2" t="s">
        <v>358</v>
      </c>
      <c r="E233" s="2" t="s">
        <v>346</v>
      </c>
      <c r="F233" s="8" t="s">
        <v>37</v>
      </c>
      <c r="G233" t="str" cm="1">
        <f t="array" ref="G233">_xlfn.SWITCH(F233,"🟩 Superstar",5,"🟦 Star / All-Star",4,"🟨 Above-average starter",3,"⬛ Contributor / role player",2,"🟥 Bust",1,"⏳ Too early to tell","")</f>
        <v/>
      </c>
    </row>
    <row r="234" spans="1:7" x14ac:dyDescent="0.2">
      <c r="A234" s="1">
        <v>2015</v>
      </c>
      <c r="B234" s="1">
        <v>22</v>
      </c>
      <c r="C234" s="2" t="s">
        <v>99</v>
      </c>
      <c r="D234" s="2" t="s">
        <v>359</v>
      </c>
      <c r="E234" s="2" t="s">
        <v>140</v>
      </c>
      <c r="F234" s="7" t="s">
        <v>21</v>
      </c>
      <c r="G234" cm="1">
        <f t="array" ref="G234">_xlfn.SWITCH(F234,"🟩 Superstar",5,"🟦 Star / All-Star",4,"🟨 Above-average starter",3,"⬛ Contributor / role player",2,"🟥 Bust",1,"⏳ Too early to tell","")</f>
        <v>3</v>
      </c>
    </row>
    <row r="235" spans="1:7" x14ac:dyDescent="0.2">
      <c r="A235" s="1">
        <v>2016</v>
      </c>
      <c r="B235" s="1">
        <v>22</v>
      </c>
      <c r="C235" s="2" t="s">
        <v>60</v>
      </c>
      <c r="D235" s="2" t="s">
        <v>360</v>
      </c>
      <c r="E235" s="2" t="s">
        <v>361</v>
      </c>
      <c r="F235" s="5" t="s">
        <v>17</v>
      </c>
      <c r="G235" cm="1">
        <f t="array" ref="G235">_xlfn.SWITCH(F235,"🟩 Superstar",5,"🟦 Star / All-Star",4,"🟨 Above-average starter",3,"⬛ Contributor / role player",2,"🟥 Bust",1,"⏳ Too early to tell","")</f>
        <v>1</v>
      </c>
    </row>
    <row r="236" spans="1:7" x14ac:dyDescent="0.2">
      <c r="A236" s="1">
        <v>2017</v>
      </c>
      <c r="B236" s="1">
        <v>22</v>
      </c>
      <c r="C236" s="2" t="s">
        <v>170</v>
      </c>
      <c r="D236" s="2" t="s">
        <v>362</v>
      </c>
      <c r="E236" s="2" t="s">
        <v>131</v>
      </c>
      <c r="F236" s="7" t="s">
        <v>21</v>
      </c>
      <c r="G236" cm="1">
        <f t="array" ref="G236">_xlfn.SWITCH(F236,"🟩 Superstar",5,"🟦 Star / All-Star",4,"🟨 Above-average starter",3,"⬛ Contributor / role player",2,"🟥 Bust",1,"⏳ Too early to tell","")</f>
        <v>3</v>
      </c>
    </row>
    <row r="237" spans="1:7" x14ac:dyDescent="0.2">
      <c r="A237" s="1">
        <v>2018</v>
      </c>
      <c r="B237" s="1">
        <v>22</v>
      </c>
      <c r="C237" s="2" t="s">
        <v>99</v>
      </c>
      <c r="D237" s="2" t="s">
        <v>363</v>
      </c>
      <c r="E237" s="2" t="s">
        <v>364</v>
      </c>
      <c r="F237" s="5" t="s">
        <v>17</v>
      </c>
      <c r="G237" cm="1">
        <f t="array" ref="G237">_xlfn.SWITCH(F237,"🟩 Superstar",5,"🟦 Star / All-Star",4,"🟨 Above-average starter",3,"⬛ Contributor / role player",2,"🟥 Bust",1,"⏳ Too early to tell","")</f>
        <v>1</v>
      </c>
    </row>
    <row r="238" spans="1:7" x14ac:dyDescent="0.2">
      <c r="A238" s="1">
        <v>2019</v>
      </c>
      <c r="B238" s="1">
        <v>22</v>
      </c>
      <c r="C238" s="2" t="s">
        <v>69</v>
      </c>
      <c r="D238" s="2" t="s">
        <v>365</v>
      </c>
      <c r="E238" s="2" t="s">
        <v>304</v>
      </c>
      <c r="F238" s="6" t="s">
        <v>63</v>
      </c>
      <c r="G238" cm="1">
        <f t="array" ref="G238">_xlfn.SWITCH(F238,"🟩 Superstar",5,"🟦 Star / All-Star",4,"🟨 Above-average starter",3,"⬛ Contributor / role player",2,"🟥 Bust",1,"⏳ Too early to tell","")</f>
        <v>2</v>
      </c>
    </row>
    <row r="239" spans="1:7" x14ac:dyDescent="0.2">
      <c r="A239" s="1">
        <v>2020</v>
      </c>
      <c r="B239" s="1">
        <v>22</v>
      </c>
      <c r="C239" s="2" t="s">
        <v>143</v>
      </c>
      <c r="D239" s="2" t="s">
        <v>366</v>
      </c>
      <c r="E239" s="2" t="s">
        <v>20</v>
      </c>
      <c r="F239" s="5" t="s">
        <v>17</v>
      </c>
      <c r="G239" cm="1">
        <f t="array" ref="G239">_xlfn.SWITCH(F239,"🟩 Superstar",5,"🟦 Star / All-Star",4,"🟨 Above-average starter",3,"⬛ Contributor / role player",2,"🟥 Bust",1,"⏳ Too early to tell","")</f>
        <v>1</v>
      </c>
    </row>
    <row r="240" spans="1:7" x14ac:dyDescent="0.2">
      <c r="A240" s="1">
        <v>2021</v>
      </c>
      <c r="B240" s="1">
        <v>22</v>
      </c>
      <c r="C240" s="2" t="s">
        <v>40</v>
      </c>
      <c r="D240" s="2" t="s">
        <v>367</v>
      </c>
      <c r="E240" s="2" t="s">
        <v>9</v>
      </c>
      <c r="F240" s="6" t="s">
        <v>63</v>
      </c>
      <c r="G240" cm="1">
        <f t="array" ref="G240">_xlfn.SWITCH(F240,"🟩 Superstar",5,"🟦 Star / All-Star",4,"🟨 Above-average starter",3,"⬛ Contributor / role player",2,"🟥 Bust",1,"⏳ Too early to tell","")</f>
        <v>2</v>
      </c>
    </row>
    <row r="241" spans="1:7" x14ac:dyDescent="0.2">
      <c r="A241" s="1">
        <v>2022</v>
      </c>
      <c r="B241" s="1">
        <v>22</v>
      </c>
      <c r="C241" s="2" t="s">
        <v>48</v>
      </c>
      <c r="D241" s="2" t="s">
        <v>368</v>
      </c>
      <c r="E241" s="2" t="s">
        <v>83</v>
      </c>
      <c r="F241" s="4" t="s">
        <v>14</v>
      </c>
      <c r="G241" cm="1">
        <f t="array" ref="G241">_xlfn.SWITCH(F241,"🟩 Superstar",5,"🟦 Star / All-Star",4,"🟨 Above-average starter",3,"⬛ Contributor / role player",2,"🟥 Bust",1,"⏳ Too early to tell","")</f>
        <v>4</v>
      </c>
    </row>
    <row r="242" spans="1:7" x14ac:dyDescent="0.2">
      <c r="A242" s="1">
        <v>2023</v>
      </c>
      <c r="B242" s="1">
        <v>22</v>
      </c>
      <c r="C242" s="2" t="s">
        <v>170</v>
      </c>
      <c r="D242" s="2" t="s">
        <v>369</v>
      </c>
      <c r="E242" s="2" t="s">
        <v>24</v>
      </c>
      <c r="F242" s="5" t="s">
        <v>17</v>
      </c>
      <c r="G242" cm="1">
        <f t="array" ref="G242">_xlfn.SWITCH(F242,"🟩 Superstar",5,"🟦 Star / All-Star",4,"🟨 Above-average starter",3,"⬛ Contributor / role player",2,"🟥 Bust",1,"⏳ Too early to tell","")</f>
        <v>1</v>
      </c>
    </row>
    <row r="243" spans="1:7" x14ac:dyDescent="0.2">
      <c r="A243" s="1">
        <v>2024</v>
      </c>
      <c r="B243" s="1">
        <v>22</v>
      </c>
      <c r="C243" s="2" t="s">
        <v>18</v>
      </c>
      <c r="D243" s="2" t="s">
        <v>370</v>
      </c>
      <c r="E243" s="2" t="s">
        <v>163</v>
      </c>
      <c r="F243" s="8" t="s">
        <v>37</v>
      </c>
      <c r="G243" t="str" cm="1">
        <f t="array" ref="G243">_xlfn.SWITCH(F243,"🟩 Superstar",5,"🟦 Star / All-Star",4,"🟨 Above-average starter",3,"⬛ Contributor / role player",2,"🟥 Bust",1,"⏳ Too early to tell","")</f>
        <v/>
      </c>
    </row>
    <row r="244" spans="1:7" x14ac:dyDescent="0.2">
      <c r="A244" s="1">
        <v>2025</v>
      </c>
      <c r="B244" s="1">
        <v>22</v>
      </c>
      <c r="C244" s="2" t="s">
        <v>35</v>
      </c>
      <c r="D244" s="2" t="s">
        <v>371</v>
      </c>
      <c r="E244" s="2" t="s">
        <v>150</v>
      </c>
      <c r="F244" s="8" t="s">
        <v>37</v>
      </c>
      <c r="G244" t="str" cm="1">
        <f t="array" ref="G244">_xlfn.SWITCH(F244,"🟩 Superstar",5,"🟦 Star / All-Star",4,"🟨 Above-average starter",3,"⬛ Contributor / role player",2,"🟥 Bust",1,"⏳ Too early to tell","")</f>
        <v/>
      </c>
    </row>
    <row r="245" spans="1:7" x14ac:dyDescent="0.2">
      <c r="A245" s="1">
        <v>2015</v>
      </c>
      <c r="B245" s="1">
        <v>23</v>
      </c>
      <c r="C245" s="2" t="s">
        <v>84</v>
      </c>
      <c r="D245" s="2" t="s">
        <v>372</v>
      </c>
      <c r="E245" s="2" t="s">
        <v>20</v>
      </c>
      <c r="F245" s="6" t="s">
        <v>63</v>
      </c>
      <c r="G245" cm="1">
        <f t="array" ref="G245">_xlfn.SWITCH(F245,"🟩 Superstar",5,"🟦 Star / All-Star",4,"🟨 Above-average starter",3,"⬛ Contributor / role player",2,"🟥 Bust",1,"⏳ Too early to tell","")</f>
        <v>2</v>
      </c>
    </row>
    <row r="246" spans="1:7" x14ac:dyDescent="0.2">
      <c r="A246" s="1">
        <v>2016</v>
      </c>
      <c r="B246" s="1">
        <v>23</v>
      </c>
      <c r="C246" s="2" t="s">
        <v>69</v>
      </c>
      <c r="D246" s="2" t="s">
        <v>373</v>
      </c>
      <c r="E246" s="2" t="s">
        <v>92</v>
      </c>
      <c r="F246" s="5" t="s">
        <v>17</v>
      </c>
      <c r="G246" cm="1">
        <f t="array" ref="G246">_xlfn.SWITCH(F246,"🟩 Superstar",5,"🟦 Star / All-Star",4,"🟨 Above-average starter",3,"⬛ Contributor / role player",2,"🟥 Bust",1,"⏳ Too early to tell","")</f>
        <v>1</v>
      </c>
    </row>
    <row r="247" spans="1:7" x14ac:dyDescent="0.2">
      <c r="A247" s="1">
        <v>2017</v>
      </c>
      <c r="B247" s="1">
        <v>23</v>
      </c>
      <c r="C247" s="2" t="s">
        <v>102</v>
      </c>
      <c r="D247" s="2" t="s">
        <v>374</v>
      </c>
      <c r="E247" s="2" t="s">
        <v>257</v>
      </c>
      <c r="F247" s="4" t="s">
        <v>14</v>
      </c>
      <c r="G247" cm="1">
        <f t="array" ref="G247">_xlfn.SWITCH(F247,"🟩 Superstar",5,"🟦 Star / All-Star",4,"🟨 Above-average starter",3,"⬛ Contributor / role player",2,"🟥 Bust",1,"⏳ Too early to tell","")</f>
        <v>4</v>
      </c>
    </row>
    <row r="248" spans="1:7" x14ac:dyDescent="0.2">
      <c r="A248" s="1">
        <v>2018</v>
      </c>
      <c r="B248" s="1">
        <v>23</v>
      </c>
      <c r="C248" s="2" t="s">
        <v>137</v>
      </c>
      <c r="D248" s="2" t="s">
        <v>375</v>
      </c>
      <c r="E248" s="2" t="s">
        <v>45</v>
      </c>
      <c r="F248" s="6" t="s">
        <v>63</v>
      </c>
      <c r="G248" cm="1">
        <f t="array" ref="G248">_xlfn.SWITCH(F248,"🟩 Superstar",5,"🟦 Star / All-Star",4,"🟨 Above-average starter",3,"⬛ Contributor / role player",2,"🟥 Bust",1,"⏳ Too early to tell","")</f>
        <v>2</v>
      </c>
    </row>
    <row r="249" spans="1:7" x14ac:dyDescent="0.2">
      <c r="A249" s="1">
        <v>2019</v>
      </c>
      <c r="B249" s="1">
        <v>23</v>
      </c>
      <c r="C249" s="2" t="s">
        <v>125</v>
      </c>
      <c r="D249" s="2" t="s">
        <v>376</v>
      </c>
      <c r="E249" s="2" t="s">
        <v>377</v>
      </c>
      <c r="F249" s="5" t="s">
        <v>17</v>
      </c>
      <c r="G249" cm="1">
        <f t="array" ref="G249">_xlfn.SWITCH(F249,"🟩 Superstar",5,"🟦 Star / All-Star",4,"🟨 Above-average starter",3,"⬛ Contributor / role player",2,"🟥 Bust",1,"⏳ Too early to tell","")</f>
        <v>1</v>
      </c>
    </row>
    <row r="250" spans="1:7" x14ac:dyDescent="0.2">
      <c r="A250" s="1">
        <v>2020</v>
      </c>
      <c r="B250" s="1">
        <v>23</v>
      </c>
      <c r="C250" s="2" t="s">
        <v>75</v>
      </c>
      <c r="D250" s="2" t="s">
        <v>378</v>
      </c>
      <c r="E250" s="2" t="s">
        <v>379</v>
      </c>
      <c r="F250" s="5" t="s">
        <v>17</v>
      </c>
      <c r="G250" cm="1">
        <f t="array" ref="G250">_xlfn.SWITCH(F250,"🟩 Superstar",5,"🟦 Star / All-Star",4,"🟨 Above-average starter",3,"⬛ Contributor / role player",2,"🟥 Bust",1,"⏳ Too early to tell","")</f>
        <v>1</v>
      </c>
    </row>
    <row r="251" spans="1:7" x14ac:dyDescent="0.2">
      <c r="A251" s="1">
        <v>2021</v>
      </c>
      <c r="B251" s="1">
        <v>23</v>
      </c>
      <c r="C251" s="2" t="s">
        <v>54</v>
      </c>
      <c r="D251" s="2" t="s">
        <v>380</v>
      </c>
      <c r="E251" s="2" t="s">
        <v>267</v>
      </c>
      <c r="F251" s="5" t="s">
        <v>17</v>
      </c>
      <c r="G251" cm="1">
        <f t="array" ref="G251">_xlfn.SWITCH(F251,"🟩 Superstar",5,"🟦 Star / All-Star",4,"🟨 Above-average starter",3,"⬛ Contributor / role player",2,"🟥 Bust",1,"⏳ Too early to tell","")</f>
        <v>1</v>
      </c>
    </row>
    <row r="252" spans="1:7" x14ac:dyDescent="0.2">
      <c r="A252" s="1">
        <v>2022</v>
      </c>
      <c r="B252" s="1">
        <v>23</v>
      </c>
      <c r="C252" s="2" t="s">
        <v>11</v>
      </c>
      <c r="D252" s="2" t="s">
        <v>381</v>
      </c>
      <c r="E252" s="2" t="s">
        <v>382</v>
      </c>
      <c r="F252" s="5" t="s">
        <v>17</v>
      </c>
      <c r="G252" cm="1">
        <f t="array" ref="G252">_xlfn.SWITCH(F252,"🟩 Superstar",5,"🟦 Star / All-Star",4,"🟨 Above-average starter",3,"⬛ Contributor / role player",2,"🟥 Bust",1,"⏳ Too early to tell","")</f>
        <v>1</v>
      </c>
    </row>
    <row r="253" spans="1:7" x14ac:dyDescent="0.2">
      <c r="A253" s="1">
        <v>2023</v>
      </c>
      <c r="B253" s="1">
        <v>23</v>
      </c>
      <c r="C253" s="2" t="s">
        <v>84</v>
      </c>
      <c r="D253" s="2" t="s">
        <v>383</v>
      </c>
      <c r="E253" s="2" t="s">
        <v>105</v>
      </c>
      <c r="F253" s="5" t="s">
        <v>17</v>
      </c>
      <c r="G253" cm="1">
        <f t="array" ref="G253">_xlfn.SWITCH(F253,"🟩 Superstar",5,"🟦 Star / All-Star",4,"🟨 Above-average starter",3,"⬛ Contributor / role player",2,"🟥 Bust",1,"⏳ Too early to tell","")</f>
        <v>1</v>
      </c>
    </row>
    <row r="254" spans="1:7" x14ac:dyDescent="0.2">
      <c r="A254" s="1">
        <v>2024</v>
      </c>
      <c r="B254" s="1">
        <v>23</v>
      </c>
      <c r="C254" s="2" t="s">
        <v>192</v>
      </c>
      <c r="D254" s="2" t="s">
        <v>384</v>
      </c>
      <c r="E254" s="2" t="s">
        <v>56</v>
      </c>
      <c r="F254" s="8" t="s">
        <v>37</v>
      </c>
      <c r="G254" t="str" cm="1">
        <f t="array" ref="G254">_xlfn.SWITCH(F254,"🟩 Superstar",5,"🟦 Star / All-Star",4,"🟨 Above-average starter",3,"⬛ Contributor / role player",2,"🟥 Bust",1,"⏳ Too early to tell","")</f>
        <v/>
      </c>
    </row>
    <row r="255" spans="1:7" x14ac:dyDescent="0.2">
      <c r="A255" s="1">
        <v>2025</v>
      </c>
      <c r="B255" s="1">
        <v>23</v>
      </c>
      <c r="C255" s="2" t="s">
        <v>35</v>
      </c>
      <c r="D255" s="2" t="s">
        <v>385</v>
      </c>
      <c r="E255" s="2" t="s">
        <v>26</v>
      </c>
      <c r="F255" s="8" t="s">
        <v>37</v>
      </c>
      <c r="G255" t="str" cm="1">
        <f t="array" ref="G255">_xlfn.SWITCH(F255,"🟩 Superstar",5,"🟦 Star / All-Star",4,"🟨 Above-average starter",3,"⬛ Contributor / role player",2,"🟥 Bust",1,"⏳ Too early to tell","")</f>
        <v/>
      </c>
    </row>
    <row r="256" spans="1:7" x14ac:dyDescent="0.2">
      <c r="A256" s="1">
        <v>2015</v>
      </c>
      <c r="B256" s="1">
        <v>24</v>
      </c>
      <c r="C256" s="2" t="s">
        <v>79</v>
      </c>
      <c r="D256" s="2" t="s">
        <v>386</v>
      </c>
      <c r="E256" s="2" t="s">
        <v>24</v>
      </c>
      <c r="F256" s="7" t="s">
        <v>21</v>
      </c>
      <c r="G256" cm="1">
        <f t="array" ref="G256">_xlfn.SWITCH(F256,"🟩 Superstar",5,"🟦 Star / All-Star",4,"🟨 Above-average starter",3,"⬛ Contributor / role player",2,"🟥 Bust",1,"⏳ Too early to tell","")</f>
        <v>3</v>
      </c>
    </row>
    <row r="257" spans="1:7" x14ac:dyDescent="0.2">
      <c r="A257" s="1">
        <v>2016</v>
      </c>
      <c r="B257" s="1">
        <v>24</v>
      </c>
      <c r="C257" s="2" t="s">
        <v>11</v>
      </c>
      <c r="D257" s="2" t="s">
        <v>387</v>
      </c>
      <c r="E257" s="2" t="s">
        <v>34</v>
      </c>
      <c r="F257" s="6" t="s">
        <v>63</v>
      </c>
      <c r="G257" cm="1">
        <f t="array" ref="G257">_xlfn.SWITCH(F257,"🟩 Superstar",5,"🟦 Star / All-Star",4,"🟨 Above-average starter",3,"⬛ Contributor / role player",2,"🟥 Bust",1,"⏳ Too early to tell","")</f>
        <v>2</v>
      </c>
    </row>
    <row r="258" spans="1:7" x14ac:dyDescent="0.2">
      <c r="A258" s="1">
        <v>2017</v>
      </c>
      <c r="B258" s="1">
        <v>24</v>
      </c>
      <c r="C258" s="2" t="s">
        <v>125</v>
      </c>
      <c r="D258" s="2" t="s">
        <v>388</v>
      </c>
      <c r="E258" s="2" t="s">
        <v>361</v>
      </c>
      <c r="F258" s="5" t="s">
        <v>17</v>
      </c>
      <c r="G258" cm="1">
        <f t="array" ref="G258">_xlfn.SWITCH(F258,"🟩 Superstar",5,"🟦 Star / All-Star",4,"🟨 Above-average starter",3,"⬛ Contributor / role player",2,"🟥 Bust",1,"⏳ Too early to tell","")</f>
        <v>1</v>
      </c>
    </row>
    <row r="259" spans="1:7" x14ac:dyDescent="0.2">
      <c r="A259" s="1">
        <v>2018</v>
      </c>
      <c r="B259" s="1">
        <v>24</v>
      </c>
      <c r="C259" s="2" t="s">
        <v>84</v>
      </c>
      <c r="D259" s="2" t="s">
        <v>389</v>
      </c>
      <c r="E259" s="2" t="s">
        <v>377</v>
      </c>
      <c r="F259" s="7" t="s">
        <v>21</v>
      </c>
      <c r="G259" cm="1">
        <f t="array" ref="G259">_xlfn.SWITCH(F259,"🟩 Superstar",5,"🟦 Star / All-Star",4,"🟨 Above-average starter",3,"⬛ Contributor / role player",2,"🟥 Bust",1,"⏳ Too early to tell","")</f>
        <v>3</v>
      </c>
    </row>
    <row r="260" spans="1:7" x14ac:dyDescent="0.2">
      <c r="A260" s="1">
        <v>2019</v>
      </c>
      <c r="B260" s="1">
        <v>24</v>
      </c>
      <c r="C260" s="2" t="s">
        <v>11</v>
      </c>
      <c r="D260" s="2" t="s">
        <v>390</v>
      </c>
      <c r="E260" s="2" t="s">
        <v>98</v>
      </c>
      <c r="F260" s="6" t="s">
        <v>63</v>
      </c>
      <c r="G260" cm="1">
        <f t="array" ref="G260">_xlfn.SWITCH(F260,"🟩 Superstar",5,"🟦 Star / All-Star",4,"🟨 Above-average starter",3,"⬛ Contributor / role player",2,"🟥 Bust",1,"⏳ Too early to tell","")</f>
        <v>2</v>
      </c>
    </row>
    <row r="261" spans="1:7" x14ac:dyDescent="0.2">
      <c r="A261" s="1">
        <v>2020</v>
      </c>
      <c r="B261" s="1">
        <v>24</v>
      </c>
      <c r="C261" s="2" t="s">
        <v>192</v>
      </c>
      <c r="D261" s="2" t="s">
        <v>391</v>
      </c>
      <c r="E261" s="2" t="s">
        <v>392</v>
      </c>
      <c r="F261" s="5" t="s">
        <v>17</v>
      </c>
      <c r="G261" cm="1">
        <f t="array" ref="G261">_xlfn.SWITCH(F261,"🟩 Superstar",5,"🟦 Star / All-Star",4,"🟨 Above-average starter",3,"⬛ Contributor / role player",2,"🟥 Bust",1,"⏳ Too early to tell","")</f>
        <v>1</v>
      </c>
    </row>
    <row r="262" spans="1:7" x14ac:dyDescent="0.2">
      <c r="A262" s="1">
        <v>2021</v>
      </c>
      <c r="B262" s="1">
        <v>24</v>
      </c>
      <c r="C262" s="2" t="s">
        <v>54</v>
      </c>
      <c r="D262" s="2" t="s">
        <v>393</v>
      </c>
      <c r="E262" s="2" t="s">
        <v>394</v>
      </c>
      <c r="F262" s="5" t="s">
        <v>17</v>
      </c>
      <c r="G262" cm="1">
        <f t="array" ref="G262">_xlfn.SWITCH(F262,"🟩 Superstar",5,"🟦 Star / All-Star",4,"🟨 Above-average starter",3,"⬛ Contributor / role player",2,"🟥 Bust",1,"⏳ Too early to tell","")</f>
        <v>1</v>
      </c>
    </row>
    <row r="263" spans="1:7" x14ac:dyDescent="0.2">
      <c r="A263" s="1">
        <v>2022</v>
      </c>
      <c r="B263" s="1">
        <v>24</v>
      </c>
      <c r="C263" s="2" t="s">
        <v>192</v>
      </c>
      <c r="D263" s="2" t="s">
        <v>395</v>
      </c>
      <c r="E263" s="2" t="s">
        <v>56</v>
      </c>
      <c r="F263" s="5" t="s">
        <v>17</v>
      </c>
      <c r="G263" cm="1">
        <f t="array" ref="G263">_xlfn.SWITCH(F263,"🟩 Superstar",5,"🟦 Star / All-Star",4,"🟨 Above-average starter",3,"⬛ Contributor / role player",2,"🟥 Bust",1,"⏳ Too early to tell","")</f>
        <v>1</v>
      </c>
    </row>
    <row r="264" spans="1:7" x14ac:dyDescent="0.2">
      <c r="A264" s="1">
        <v>2023</v>
      </c>
      <c r="B264" s="1">
        <v>24</v>
      </c>
      <c r="C264" s="2" t="s">
        <v>46</v>
      </c>
      <c r="D264" s="2" t="s">
        <v>396</v>
      </c>
      <c r="E264" s="2" t="s">
        <v>308</v>
      </c>
      <c r="F264" s="5" t="s">
        <v>17</v>
      </c>
      <c r="G264" cm="1">
        <f t="array" ref="G264">_xlfn.SWITCH(F264,"🟩 Superstar",5,"🟦 Star / All-Star",4,"🟨 Above-average starter",3,"⬛ Contributor / role player",2,"🟥 Bust",1,"⏳ Too early to tell","")</f>
        <v>1</v>
      </c>
    </row>
    <row r="265" spans="1:7" x14ac:dyDescent="0.2">
      <c r="A265" s="1">
        <v>2024</v>
      </c>
      <c r="B265" s="1">
        <v>24</v>
      </c>
      <c r="C265" s="2" t="s">
        <v>75</v>
      </c>
      <c r="D265" s="2" t="s">
        <v>397</v>
      </c>
      <c r="E265" s="2" t="s">
        <v>311</v>
      </c>
      <c r="F265" s="8" t="s">
        <v>37</v>
      </c>
      <c r="G265" t="str" cm="1">
        <f t="array" ref="G265">_xlfn.SWITCH(F265,"🟩 Superstar",5,"🟦 Star / All-Star",4,"🟨 Above-average starter",3,"⬛ Contributor / role player",2,"🟥 Bust",1,"⏳ Too early to tell","")</f>
        <v/>
      </c>
    </row>
    <row r="266" spans="1:7" x14ac:dyDescent="0.2">
      <c r="A266" s="1">
        <v>2025</v>
      </c>
      <c r="B266" s="1">
        <v>24</v>
      </c>
      <c r="C266" s="2" t="s">
        <v>57</v>
      </c>
      <c r="D266" s="2" t="s">
        <v>398</v>
      </c>
      <c r="E266" s="2" t="s">
        <v>382</v>
      </c>
      <c r="F266" s="8" t="s">
        <v>37</v>
      </c>
      <c r="G266" t="str" cm="1">
        <f t="array" ref="G266">_xlfn.SWITCH(F266,"🟩 Superstar",5,"🟦 Star / All-Star",4,"🟨 Above-average starter",3,"⬛ Contributor / role player",2,"🟥 Bust",1,"⏳ Too early to tell","")</f>
        <v/>
      </c>
    </row>
    <row r="267" spans="1:7" x14ac:dyDescent="0.2">
      <c r="A267" s="1">
        <v>2015</v>
      </c>
      <c r="B267" s="1">
        <v>25</v>
      </c>
      <c r="C267" s="2" t="s">
        <v>48</v>
      </c>
      <c r="D267" s="2" t="s">
        <v>399</v>
      </c>
      <c r="E267" s="2" t="s">
        <v>13</v>
      </c>
      <c r="F267" s="5" t="s">
        <v>17</v>
      </c>
      <c r="G267" cm="1">
        <f t="array" ref="G267">_xlfn.SWITCH(F267,"🟩 Superstar",5,"🟦 Star / All-Star",4,"🟨 Above-average starter",3,"⬛ Contributor / role player",2,"🟥 Bust",1,"⏳ Too early to tell","")</f>
        <v>1</v>
      </c>
    </row>
    <row r="268" spans="1:7" x14ac:dyDescent="0.2">
      <c r="A268" s="1">
        <v>2016</v>
      </c>
      <c r="B268" s="1">
        <v>25</v>
      </c>
      <c r="C268" s="2" t="s">
        <v>224</v>
      </c>
      <c r="D268" s="2" t="s">
        <v>400</v>
      </c>
      <c r="E268" s="2" t="s">
        <v>150</v>
      </c>
      <c r="F268" s="5" t="s">
        <v>17</v>
      </c>
      <c r="G268" cm="1">
        <f t="array" ref="G268">_xlfn.SWITCH(F268,"🟩 Superstar",5,"🟦 Star / All-Star",4,"🟨 Above-average starter",3,"⬛ Contributor / role player",2,"🟥 Bust",1,"⏳ Too early to tell","")</f>
        <v>1</v>
      </c>
    </row>
    <row r="269" spans="1:7" x14ac:dyDescent="0.2">
      <c r="A269" s="1">
        <v>2017</v>
      </c>
      <c r="B269" s="1">
        <v>25</v>
      </c>
      <c r="C269" s="2" t="s">
        <v>30</v>
      </c>
      <c r="D269" s="2" t="s">
        <v>401</v>
      </c>
      <c r="E269" s="2" t="s">
        <v>90</v>
      </c>
      <c r="F269" s="5" t="s">
        <v>17</v>
      </c>
      <c r="G269" cm="1">
        <f t="array" ref="G269">_xlfn.SWITCH(F269,"🟩 Superstar",5,"🟦 Star / All-Star",4,"🟨 Above-average starter",3,"⬛ Contributor / role player",2,"🟥 Bust",1,"⏳ Too early to tell","")</f>
        <v>1</v>
      </c>
    </row>
    <row r="270" spans="1:7" x14ac:dyDescent="0.2">
      <c r="A270" s="1">
        <v>2018</v>
      </c>
      <c r="B270" s="1">
        <v>25</v>
      </c>
      <c r="C270" s="2" t="s">
        <v>40</v>
      </c>
      <c r="D270" s="2" t="s">
        <v>402</v>
      </c>
      <c r="E270" s="2" t="s">
        <v>165</v>
      </c>
      <c r="F270" s="6" t="s">
        <v>63</v>
      </c>
      <c r="G270" cm="1">
        <f t="array" ref="G270">_xlfn.SWITCH(F270,"🟩 Superstar",5,"🟦 Star / All-Star",4,"🟨 Above-average starter",3,"⬛ Contributor / role player",2,"🟥 Bust",1,"⏳ Too early to tell","")</f>
        <v>2</v>
      </c>
    </row>
    <row r="271" spans="1:7" x14ac:dyDescent="0.2">
      <c r="A271" s="1">
        <v>2019</v>
      </c>
      <c r="B271" s="1">
        <v>25</v>
      </c>
      <c r="C271" s="2" t="s">
        <v>84</v>
      </c>
      <c r="D271" s="2" t="s">
        <v>403</v>
      </c>
      <c r="E271" s="2" t="s">
        <v>150</v>
      </c>
      <c r="F271" s="6" t="s">
        <v>63</v>
      </c>
      <c r="G271" cm="1">
        <f t="array" ref="G271">_xlfn.SWITCH(F271,"🟩 Superstar",5,"🟦 Star / All-Star",4,"🟨 Above-average starter",3,"⬛ Contributor / role player",2,"🟥 Bust",1,"⏳ Too early to tell","")</f>
        <v>2</v>
      </c>
    </row>
    <row r="272" spans="1:7" x14ac:dyDescent="0.2">
      <c r="A272" s="1">
        <v>2020</v>
      </c>
      <c r="B272" s="1">
        <v>25</v>
      </c>
      <c r="C272" s="2" t="s">
        <v>57</v>
      </c>
      <c r="D272" s="2" t="s">
        <v>404</v>
      </c>
      <c r="E272" s="2" t="s">
        <v>9</v>
      </c>
      <c r="F272" s="7" t="s">
        <v>21</v>
      </c>
      <c r="G272" cm="1">
        <f t="array" ref="G272">_xlfn.SWITCH(F272,"🟩 Superstar",5,"🟦 Star / All-Star",4,"🟨 Above-average starter",3,"⬛ Contributor / role player",2,"🟥 Bust",1,"⏳ Too early to tell","")</f>
        <v>3</v>
      </c>
    </row>
    <row r="273" spans="1:7" x14ac:dyDescent="0.2">
      <c r="A273" s="1">
        <v>2021</v>
      </c>
      <c r="B273" s="1">
        <v>25</v>
      </c>
      <c r="C273" s="2" t="s">
        <v>224</v>
      </c>
      <c r="D273" s="2" t="s">
        <v>405</v>
      </c>
      <c r="E273" s="2" t="s">
        <v>168</v>
      </c>
      <c r="F273" s="7" t="s">
        <v>21</v>
      </c>
      <c r="G273" cm="1">
        <f t="array" ref="G273">_xlfn.SWITCH(F273,"🟩 Superstar",5,"🟦 Star / All-Star",4,"🟨 Above-average starter",3,"⬛ Contributor / role player",2,"🟥 Bust",1,"⏳ Too early to tell","")</f>
        <v>3</v>
      </c>
    </row>
    <row r="274" spans="1:7" x14ac:dyDescent="0.2">
      <c r="A274" s="1">
        <v>2022</v>
      </c>
      <c r="B274" s="1">
        <v>25</v>
      </c>
      <c r="C274" s="2" t="s">
        <v>32</v>
      </c>
      <c r="D274" s="2" t="s">
        <v>406</v>
      </c>
      <c r="E274" s="2" t="s">
        <v>322</v>
      </c>
      <c r="F274" s="5" t="s">
        <v>17</v>
      </c>
      <c r="G274" cm="1">
        <f t="array" ref="G274">_xlfn.SWITCH(F274,"🟩 Superstar",5,"🟦 Star / All-Star",4,"🟨 Above-average starter",3,"⬛ Contributor / role player",2,"🟥 Bust",1,"⏳ Too early to tell","")</f>
        <v>1</v>
      </c>
    </row>
    <row r="275" spans="1:7" x14ac:dyDescent="0.2">
      <c r="A275" s="1">
        <v>2023</v>
      </c>
      <c r="B275" s="1">
        <v>25</v>
      </c>
      <c r="C275" s="2" t="s">
        <v>48</v>
      </c>
      <c r="D275" s="2" t="s">
        <v>407</v>
      </c>
      <c r="E275" s="2" t="s">
        <v>168</v>
      </c>
      <c r="F275" s="6" t="s">
        <v>63</v>
      </c>
      <c r="G275" cm="1">
        <f t="array" ref="G275">_xlfn.SWITCH(F275,"🟩 Superstar",5,"🟦 Star / All-Star",4,"🟨 Above-average starter",3,"⬛ Contributor / role player",2,"🟥 Bust",1,"⏳ Too early to tell","")</f>
        <v>2</v>
      </c>
    </row>
    <row r="276" spans="1:7" x14ac:dyDescent="0.2">
      <c r="A276" s="1">
        <v>2024</v>
      </c>
      <c r="B276" s="1">
        <v>25</v>
      </c>
      <c r="C276" s="2" t="s">
        <v>75</v>
      </c>
      <c r="D276" s="2" t="s">
        <v>408</v>
      </c>
      <c r="E276" s="2" t="s">
        <v>409</v>
      </c>
      <c r="F276" s="5" t="s">
        <v>17</v>
      </c>
      <c r="G276" cm="1">
        <f t="array" ref="G276">_xlfn.SWITCH(F276,"🟩 Superstar",5,"🟦 Star / All-Star",4,"🟨 Above-average starter",3,"⬛ Contributor / role player",2,"🟥 Bust",1,"⏳ Too early to tell","")</f>
        <v>1</v>
      </c>
    </row>
    <row r="277" spans="1:7" x14ac:dyDescent="0.2">
      <c r="A277" s="1">
        <v>2025</v>
      </c>
      <c r="B277" s="1">
        <v>25</v>
      </c>
      <c r="C277" s="2" t="s">
        <v>30</v>
      </c>
      <c r="D277" s="2" t="s">
        <v>410</v>
      </c>
      <c r="E277" s="2" t="s">
        <v>96</v>
      </c>
      <c r="F277" s="8" t="s">
        <v>37</v>
      </c>
      <c r="G277" t="str" cm="1">
        <f t="array" ref="G277">_xlfn.SWITCH(F277,"🟩 Superstar",5,"🟦 Star / All-Star",4,"🟨 Above-average starter",3,"⬛ Contributor / role player",2,"🟥 Bust",1,"⏳ Too early to tell","")</f>
        <v/>
      </c>
    </row>
    <row r="278" spans="1:7" x14ac:dyDescent="0.2">
      <c r="A278" s="1">
        <v>2015</v>
      </c>
      <c r="B278" s="1">
        <v>26</v>
      </c>
      <c r="C278" s="2" t="s">
        <v>32</v>
      </c>
      <c r="D278" s="2" t="s">
        <v>411</v>
      </c>
      <c r="E278" s="2" t="s">
        <v>234</v>
      </c>
      <c r="F278" s="5" t="s">
        <v>17</v>
      </c>
      <c r="G278" cm="1">
        <f t="array" ref="G278">_xlfn.SWITCH(F278,"🟩 Superstar",5,"🟦 Star / All-Star",4,"🟨 Above-average starter",3,"⬛ Contributor / role player",2,"🟥 Bust",1,"⏳ Too early to tell","")</f>
        <v>1</v>
      </c>
    </row>
    <row r="279" spans="1:7" x14ac:dyDescent="0.2">
      <c r="A279" s="1">
        <v>2016</v>
      </c>
      <c r="B279" s="1">
        <v>26</v>
      </c>
      <c r="C279" s="2" t="s">
        <v>11</v>
      </c>
      <c r="D279" s="2" t="s">
        <v>412</v>
      </c>
      <c r="E279" s="2" t="s">
        <v>286</v>
      </c>
      <c r="F279" s="6" t="s">
        <v>63</v>
      </c>
      <c r="G279" cm="1">
        <f t="array" ref="G279">_xlfn.SWITCH(F279,"🟩 Superstar",5,"🟦 Star / All-Star",4,"🟨 Above-average starter",3,"⬛ Contributor / role player",2,"🟥 Bust",1,"⏳ Too early to tell","")</f>
        <v>2</v>
      </c>
    </row>
    <row r="280" spans="1:7" x14ac:dyDescent="0.2">
      <c r="A280" s="1">
        <v>2017</v>
      </c>
      <c r="B280" s="1">
        <v>26</v>
      </c>
      <c r="C280" s="2" t="s">
        <v>84</v>
      </c>
      <c r="D280" s="2" t="s">
        <v>413</v>
      </c>
      <c r="E280" s="2" t="s">
        <v>122</v>
      </c>
      <c r="F280" s="5" t="s">
        <v>17</v>
      </c>
      <c r="G280" cm="1">
        <f t="array" ref="G280">_xlfn.SWITCH(F280,"🟩 Superstar",5,"🟦 Star / All-Star",4,"🟨 Above-average starter",3,"⬛ Contributor / role player",2,"🟥 Bust",1,"⏳ Too early to tell","")</f>
        <v>1</v>
      </c>
    </row>
    <row r="281" spans="1:7" x14ac:dyDescent="0.2">
      <c r="A281" s="1">
        <v>2018</v>
      </c>
      <c r="B281" s="1">
        <v>26</v>
      </c>
      <c r="C281" s="2" t="s">
        <v>11</v>
      </c>
      <c r="D281" s="2" t="s">
        <v>414</v>
      </c>
      <c r="E281" s="2" t="s">
        <v>415</v>
      </c>
      <c r="F281" s="6" t="s">
        <v>63</v>
      </c>
      <c r="G281" cm="1">
        <f t="array" ref="G281">_xlfn.SWITCH(F281,"🟩 Superstar",5,"🟦 Star / All-Star",4,"🟨 Above-average starter",3,"⬛ Contributor / role player",2,"🟥 Bust",1,"⏳ Too early to tell","")</f>
        <v>2</v>
      </c>
    </row>
    <row r="282" spans="1:7" x14ac:dyDescent="0.2">
      <c r="A282" s="1">
        <v>2019</v>
      </c>
      <c r="B282" s="1">
        <v>26</v>
      </c>
      <c r="C282" s="2" t="s">
        <v>79</v>
      </c>
      <c r="D282" s="2" t="s">
        <v>416</v>
      </c>
      <c r="E282" s="2" t="s">
        <v>417</v>
      </c>
      <c r="F282" s="5" t="s">
        <v>17</v>
      </c>
      <c r="G282" cm="1">
        <f t="array" ref="G282">_xlfn.SWITCH(F282,"🟩 Superstar",5,"🟦 Star / All-Star",4,"🟨 Above-average starter",3,"⬛ Contributor / role player",2,"🟥 Bust",1,"⏳ Too early to tell","")</f>
        <v>1</v>
      </c>
    </row>
    <row r="283" spans="1:7" x14ac:dyDescent="0.2">
      <c r="A283" s="1">
        <v>2020</v>
      </c>
      <c r="B283" s="1">
        <v>26</v>
      </c>
      <c r="C283" s="2" t="s">
        <v>69</v>
      </c>
      <c r="D283" s="2" t="s">
        <v>418</v>
      </c>
      <c r="E283" s="2" t="s">
        <v>246</v>
      </c>
      <c r="F283" s="7" t="s">
        <v>21</v>
      </c>
      <c r="G283" cm="1">
        <f t="array" ref="G283">_xlfn.SWITCH(F283,"🟩 Superstar",5,"🟦 Star / All-Star",4,"🟨 Above-average starter",3,"⬛ Contributor / role player",2,"🟥 Bust",1,"⏳ Too early to tell","")</f>
        <v>3</v>
      </c>
    </row>
    <row r="284" spans="1:7" x14ac:dyDescent="0.2">
      <c r="A284" s="1">
        <v>2021</v>
      </c>
      <c r="B284" s="1">
        <v>26</v>
      </c>
      <c r="C284" s="2" t="s">
        <v>143</v>
      </c>
      <c r="D284" s="2" t="s">
        <v>419</v>
      </c>
      <c r="E284" s="2" t="s">
        <v>420</v>
      </c>
      <c r="F284" s="6" t="s">
        <v>63</v>
      </c>
      <c r="G284" cm="1">
        <f t="array" ref="G284">_xlfn.SWITCH(F284,"🟩 Superstar",5,"🟦 Star / All-Star",4,"🟨 Above-average starter",3,"⬛ Contributor / role player",2,"🟥 Bust",1,"⏳ Too early to tell","")</f>
        <v>2</v>
      </c>
    </row>
    <row r="285" spans="1:7" x14ac:dyDescent="0.2">
      <c r="A285" s="1">
        <v>2022</v>
      </c>
      <c r="B285" s="1">
        <v>26</v>
      </c>
      <c r="C285" s="2" t="s">
        <v>38</v>
      </c>
      <c r="D285" s="2" t="s">
        <v>421</v>
      </c>
      <c r="E285" s="2" t="s">
        <v>24</v>
      </c>
      <c r="F285" s="5" t="s">
        <v>17</v>
      </c>
      <c r="G285" cm="1">
        <f t="array" ref="G285">_xlfn.SWITCH(F285,"🟩 Superstar",5,"🟦 Star / All-Star",4,"🟨 Above-average starter",3,"⬛ Contributor / role player",2,"🟥 Bust",1,"⏳ Too early to tell","")</f>
        <v>1</v>
      </c>
    </row>
    <row r="286" spans="1:7" x14ac:dyDescent="0.2">
      <c r="A286" s="1">
        <v>2023</v>
      </c>
      <c r="B286" s="1">
        <v>26</v>
      </c>
      <c r="C286" s="2" t="s">
        <v>137</v>
      </c>
      <c r="D286" s="2" t="s">
        <v>422</v>
      </c>
      <c r="E286" s="2" t="s">
        <v>417</v>
      </c>
      <c r="F286" s="6" t="s">
        <v>63</v>
      </c>
      <c r="G286" cm="1">
        <f t="array" ref="G286">_xlfn.SWITCH(F286,"🟩 Superstar",5,"🟦 Star / All-Star",4,"🟨 Above-average starter",3,"⬛ Contributor / role player",2,"🟥 Bust",1,"⏳ Too early to tell","")</f>
        <v>2</v>
      </c>
    </row>
    <row r="287" spans="1:7" x14ac:dyDescent="0.2">
      <c r="A287" s="1">
        <v>2024</v>
      </c>
      <c r="B287" s="1">
        <v>26</v>
      </c>
      <c r="C287" s="2" t="s">
        <v>64</v>
      </c>
      <c r="D287" s="2" t="s">
        <v>423</v>
      </c>
      <c r="E287" s="2" t="s">
        <v>424</v>
      </c>
      <c r="F287" s="5" t="s">
        <v>17</v>
      </c>
      <c r="G287" cm="1">
        <f t="array" ref="G287">_xlfn.SWITCH(F287,"🟩 Superstar",5,"🟦 Star / All-Star",4,"🟨 Above-average starter",3,"⬛ Contributor / role player",2,"🟥 Bust",1,"⏳ Too early to tell","")</f>
        <v>1</v>
      </c>
    </row>
    <row r="288" spans="1:7" x14ac:dyDescent="0.2">
      <c r="A288" s="1">
        <v>2025</v>
      </c>
      <c r="B288" s="1">
        <v>26</v>
      </c>
      <c r="C288" s="2" t="s">
        <v>170</v>
      </c>
      <c r="D288" s="2" t="s">
        <v>425</v>
      </c>
      <c r="E288" s="2" t="s">
        <v>182</v>
      </c>
      <c r="F288" s="8" t="s">
        <v>37</v>
      </c>
      <c r="G288" t="str" cm="1">
        <f t="array" ref="G288">_xlfn.SWITCH(F288,"🟩 Superstar",5,"🟦 Star / All-Star",4,"🟨 Above-average starter",3,"⬛ Contributor / role player",2,"🟥 Bust",1,"⏳ Too early to tell","")</f>
        <v/>
      </c>
    </row>
    <row r="289" spans="1:7" x14ac:dyDescent="0.2">
      <c r="A289" s="1">
        <v>2015</v>
      </c>
      <c r="B289" s="1">
        <v>27</v>
      </c>
      <c r="C289" s="2" t="s">
        <v>40</v>
      </c>
      <c r="D289" s="2" t="s">
        <v>426</v>
      </c>
      <c r="E289" s="2" t="s">
        <v>427</v>
      </c>
      <c r="F289" s="7" t="s">
        <v>21</v>
      </c>
      <c r="G289" cm="1">
        <f t="array" ref="G289">_xlfn.SWITCH(F289,"🟩 Superstar",5,"🟦 Star / All-Star",4,"🟨 Above-average starter",3,"⬛ Contributor / role player",2,"🟥 Bust",1,"⏳ Too early to tell","")</f>
        <v>3</v>
      </c>
    </row>
    <row r="290" spans="1:7" x14ac:dyDescent="0.2">
      <c r="A290" s="1">
        <v>2016</v>
      </c>
      <c r="B290" s="1">
        <v>27</v>
      </c>
      <c r="C290" s="2" t="s">
        <v>102</v>
      </c>
      <c r="D290" s="2" t="s">
        <v>428</v>
      </c>
      <c r="E290" s="2" t="s">
        <v>429</v>
      </c>
      <c r="F290" s="4" t="s">
        <v>14</v>
      </c>
      <c r="G290" cm="1">
        <f t="array" ref="G290">_xlfn.SWITCH(F290,"🟩 Superstar",5,"🟦 Star / All-Star",4,"🟨 Above-average starter",3,"⬛ Contributor / role player",2,"🟥 Bust",1,"⏳ Too early to tell","")</f>
        <v>4</v>
      </c>
    </row>
    <row r="291" spans="1:7" x14ac:dyDescent="0.2">
      <c r="A291" s="1">
        <v>2017</v>
      </c>
      <c r="B291" s="1">
        <v>27</v>
      </c>
      <c r="C291" s="2" t="s">
        <v>170</v>
      </c>
      <c r="D291" s="2" t="s">
        <v>430</v>
      </c>
      <c r="E291" s="2" t="s">
        <v>176</v>
      </c>
      <c r="F291" s="7" t="s">
        <v>21</v>
      </c>
      <c r="G291" cm="1">
        <f t="array" ref="G291">_xlfn.SWITCH(F291,"🟩 Superstar",5,"🟦 Star / All-Star",4,"🟨 Above-average starter",3,"⬛ Contributor / role player",2,"🟥 Bust",1,"⏳ Too early to tell","")</f>
        <v>3</v>
      </c>
    </row>
    <row r="292" spans="1:7" x14ac:dyDescent="0.2">
      <c r="A292" s="1">
        <v>2018</v>
      </c>
      <c r="B292" s="1">
        <v>27</v>
      </c>
      <c r="C292" s="2" t="s">
        <v>69</v>
      </c>
      <c r="D292" s="2" t="s">
        <v>431</v>
      </c>
      <c r="E292" s="2" t="s">
        <v>432</v>
      </c>
      <c r="F292" s="7" t="s">
        <v>21</v>
      </c>
      <c r="G292" cm="1">
        <f t="array" ref="G292">_xlfn.SWITCH(F292,"🟩 Superstar",5,"🟦 Star / All-Star",4,"🟨 Above-average starter",3,"⬛ Contributor / role player",2,"🟥 Bust",1,"⏳ Too early to tell","")</f>
        <v>3</v>
      </c>
    </row>
    <row r="293" spans="1:7" x14ac:dyDescent="0.2">
      <c r="A293" s="1">
        <v>2019</v>
      </c>
      <c r="B293" s="1">
        <v>27</v>
      </c>
      <c r="C293" s="2" t="s">
        <v>170</v>
      </c>
      <c r="D293" s="2" t="s">
        <v>433</v>
      </c>
      <c r="E293" s="2" t="s">
        <v>101</v>
      </c>
      <c r="F293" s="5" t="s">
        <v>17</v>
      </c>
      <c r="G293" cm="1">
        <f t="array" ref="G293">_xlfn.SWITCH(F293,"🟩 Superstar",5,"🟦 Star / All-Star",4,"🟨 Above-average starter",3,"⬛ Contributor / role player",2,"🟥 Bust",1,"⏳ Too early to tell","")</f>
        <v>1</v>
      </c>
    </row>
    <row r="294" spans="1:7" x14ac:dyDescent="0.2">
      <c r="A294" s="1">
        <v>2020</v>
      </c>
      <c r="B294" s="1">
        <v>27</v>
      </c>
      <c r="C294" s="2" t="s">
        <v>125</v>
      </c>
      <c r="D294" s="2" t="s">
        <v>434</v>
      </c>
      <c r="E294" s="2" t="s">
        <v>94</v>
      </c>
      <c r="F294" s="5" t="s">
        <v>17</v>
      </c>
      <c r="G294" cm="1">
        <f t="array" ref="G294">_xlfn.SWITCH(F294,"🟩 Superstar",5,"🟦 Star / All-Star",4,"🟨 Above-average starter",3,"⬛ Contributor / role player",2,"🟥 Bust",1,"⏳ Too early to tell","")</f>
        <v>1</v>
      </c>
    </row>
    <row r="295" spans="1:7" x14ac:dyDescent="0.2">
      <c r="A295" s="1">
        <v>2021</v>
      </c>
      <c r="B295" s="1">
        <v>27</v>
      </c>
      <c r="C295" s="2" t="s">
        <v>170</v>
      </c>
      <c r="D295" s="2" t="s">
        <v>435</v>
      </c>
      <c r="E295" s="2" t="s">
        <v>13</v>
      </c>
      <c r="F295" s="6" t="s">
        <v>63</v>
      </c>
      <c r="G295" cm="1">
        <f t="array" ref="G295">_xlfn.SWITCH(F295,"🟩 Superstar",5,"🟦 Star / All-Star",4,"🟨 Above-average starter",3,"⬛ Contributor / role player",2,"🟥 Bust",1,"⏳ Too early to tell","")</f>
        <v>2</v>
      </c>
    </row>
    <row r="296" spans="1:7" x14ac:dyDescent="0.2">
      <c r="A296" s="1">
        <v>2022</v>
      </c>
      <c r="B296" s="1">
        <v>27</v>
      </c>
      <c r="C296" s="2" t="s">
        <v>190</v>
      </c>
      <c r="D296" s="2" t="s">
        <v>436</v>
      </c>
      <c r="E296" s="2" t="s">
        <v>234</v>
      </c>
      <c r="F296" s="6" t="s">
        <v>63</v>
      </c>
      <c r="G296" cm="1">
        <f t="array" ref="G296">_xlfn.SWITCH(F296,"🟩 Superstar",5,"🟦 Star / All-Star",4,"🟨 Above-average starter",3,"⬛ Contributor / role player",2,"🟥 Bust",1,"⏳ Too early to tell","")</f>
        <v>2</v>
      </c>
    </row>
    <row r="297" spans="1:7" x14ac:dyDescent="0.2">
      <c r="A297" s="1">
        <v>2023</v>
      </c>
      <c r="B297" s="1">
        <v>27</v>
      </c>
      <c r="C297" s="2" t="s">
        <v>60</v>
      </c>
      <c r="D297" s="2" t="s">
        <v>437</v>
      </c>
      <c r="E297" s="2" t="s">
        <v>140</v>
      </c>
      <c r="F297" s="5" t="s">
        <v>17</v>
      </c>
      <c r="G297" cm="1">
        <f t="array" ref="G297">_xlfn.SWITCH(F297,"🟩 Superstar",5,"🟦 Star / All-Star",4,"🟨 Above-average starter",3,"⬛ Contributor / role player",2,"🟥 Bust",1,"⏳ Too early to tell","")</f>
        <v>1</v>
      </c>
    </row>
    <row r="298" spans="1:7" x14ac:dyDescent="0.2">
      <c r="A298" s="1">
        <v>2024</v>
      </c>
      <c r="B298" s="1">
        <v>27</v>
      </c>
      <c r="C298" s="2" t="s">
        <v>7</v>
      </c>
      <c r="D298" s="2" t="s">
        <v>438</v>
      </c>
      <c r="E298" s="2" t="s">
        <v>346</v>
      </c>
      <c r="F298" s="8" t="s">
        <v>37</v>
      </c>
      <c r="G298" t="str" cm="1">
        <f t="array" ref="G298">_xlfn.SWITCH(F298,"🟩 Superstar",5,"🟦 Star / All-Star",4,"🟨 Above-average starter",3,"⬛ Contributor / role player",2,"🟥 Bust",1,"⏳ Too early to tell","")</f>
        <v/>
      </c>
    </row>
    <row r="299" spans="1:7" x14ac:dyDescent="0.2">
      <c r="A299" s="1">
        <v>2025</v>
      </c>
      <c r="B299" s="1">
        <v>27</v>
      </c>
      <c r="C299" s="2" t="s">
        <v>170</v>
      </c>
      <c r="D299" s="2" t="s">
        <v>439</v>
      </c>
      <c r="E299" s="2" t="s">
        <v>165</v>
      </c>
      <c r="F299" s="8" t="s">
        <v>37</v>
      </c>
      <c r="G299" t="str" cm="1">
        <f t="array" ref="G299">_xlfn.SWITCH(F299,"🟩 Superstar",5,"🟦 Star / All-Star",4,"🟨 Above-average starter",3,"⬛ Contributor / role player",2,"🟥 Bust",1,"⏳ Too early to tell","")</f>
        <v/>
      </c>
    </row>
    <row r="300" spans="1:7" x14ac:dyDescent="0.2">
      <c r="A300" s="1">
        <v>2015</v>
      </c>
      <c r="B300" s="1">
        <v>28</v>
      </c>
      <c r="C300" s="2" t="s">
        <v>69</v>
      </c>
      <c r="D300" s="2" t="s">
        <v>440</v>
      </c>
      <c r="E300" s="2" t="s">
        <v>441</v>
      </c>
      <c r="F300" s="5" t="s">
        <v>17</v>
      </c>
      <c r="G300" cm="1">
        <f t="array" ref="G300">_xlfn.SWITCH(F300,"🟩 Superstar",5,"🟦 Star / All-Star",4,"🟨 Above-average starter",3,"⬛ Contributor / role player",2,"🟥 Bust",1,"⏳ Too early to tell","")</f>
        <v>1</v>
      </c>
    </row>
    <row r="301" spans="1:7" x14ac:dyDescent="0.2">
      <c r="A301" s="1">
        <v>2016</v>
      </c>
      <c r="B301" s="1">
        <v>28</v>
      </c>
      <c r="C301" s="2" t="s">
        <v>18</v>
      </c>
      <c r="D301" s="2" t="s">
        <v>442</v>
      </c>
      <c r="E301" s="2" t="s">
        <v>9</v>
      </c>
      <c r="F301" s="5" t="s">
        <v>17</v>
      </c>
      <c r="G301" cm="1">
        <f t="array" ref="G301">_xlfn.SWITCH(F301,"🟩 Superstar",5,"🟦 Star / All-Star",4,"🟨 Above-average starter",3,"⬛ Contributor / role player",2,"🟥 Bust",1,"⏳ Too early to tell","")</f>
        <v>1</v>
      </c>
    </row>
    <row r="302" spans="1:7" x14ac:dyDescent="0.2">
      <c r="A302" s="1">
        <v>2017</v>
      </c>
      <c r="B302" s="1">
        <v>28</v>
      </c>
      <c r="C302" s="2" t="s">
        <v>40</v>
      </c>
      <c r="D302" s="2" t="s">
        <v>443</v>
      </c>
      <c r="E302" s="2" t="s">
        <v>150</v>
      </c>
      <c r="F302" s="6" t="s">
        <v>63</v>
      </c>
      <c r="G302" cm="1">
        <f t="array" ref="G302">_xlfn.SWITCH(F302,"🟩 Superstar",5,"🟦 Star / All-Star",4,"🟨 Above-average starter",3,"⬛ Contributor / role player",2,"🟥 Bust",1,"⏳ Too early to tell","")</f>
        <v>2</v>
      </c>
    </row>
    <row r="303" spans="1:7" x14ac:dyDescent="0.2">
      <c r="A303" s="1">
        <v>2018</v>
      </c>
      <c r="B303" s="1">
        <v>28</v>
      </c>
      <c r="C303" s="2" t="s">
        <v>51</v>
      </c>
      <c r="D303" s="2" t="s">
        <v>444</v>
      </c>
      <c r="E303" s="2" t="s">
        <v>445</v>
      </c>
      <c r="F303" s="5" t="s">
        <v>17</v>
      </c>
      <c r="G303" cm="1">
        <f t="array" ref="G303">_xlfn.SWITCH(F303,"🟩 Superstar",5,"🟦 Star / All-Star",4,"🟨 Above-average starter",3,"⬛ Contributor / role player",2,"🟥 Bust",1,"⏳ Too early to tell","")</f>
        <v>1</v>
      </c>
    </row>
    <row r="304" spans="1:7" x14ac:dyDescent="0.2">
      <c r="A304" s="1">
        <v>2019</v>
      </c>
      <c r="B304" s="1">
        <v>28</v>
      </c>
      <c r="C304" s="2" t="s">
        <v>51</v>
      </c>
      <c r="D304" s="2" t="s">
        <v>446</v>
      </c>
      <c r="E304" s="2" t="s">
        <v>165</v>
      </c>
      <c r="F304" s="7" t="s">
        <v>21</v>
      </c>
      <c r="G304" cm="1">
        <f t="array" ref="G304">_xlfn.SWITCH(F304,"🟩 Superstar",5,"🟦 Star / All-Star",4,"🟨 Above-average starter",3,"⬛ Contributor / role player",2,"🟥 Bust",1,"⏳ Too early to tell","")</f>
        <v>3</v>
      </c>
    </row>
    <row r="305" spans="1:7" x14ac:dyDescent="0.2">
      <c r="A305" s="1">
        <v>2020</v>
      </c>
      <c r="B305" s="1">
        <v>28</v>
      </c>
      <c r="C305" s="2" t="s">
        <v>40</v>
      </c>
      <c r="D305" s="2" t="s">
        <v>447</v>
      </c>
      <c r="E305" s="2" t="s">
        <v>16</v>
      </c>
      <c r="F305" s="7" t="s">
        <v>21</v>
      </c>
      <c r="G305" cm="1">
        <f t="array" ref="G305">_xlfn.SWITCH(F305,"🟩 Superstar",5,"🟦 Star / All-Star",4,"🟨 Above-average starter",3,"⬛ Contributor / role player",2,"🟥 Bust",1,"⏳ Too early to tell","")</f>
        <v>3</v>
      </c>
    </row>
    <row r="306" spans="1:7" x14ac:dyDescent="0.2">
      <c r="A306" s="1">
        <v>2021</v>
      </c>
      <c r="B306" s="1">
        <v>28</v>
      </c>
      <c r="C306" s="2" t="s">
        <v>11</v>
      </c>
      <c r="D306" s="2" t="s">
        <v>448</v>
      </c>
      <c r="E306" s="2" t="s">
        <v>304</v>
      </c>
      <c r="F306" s="5" t="s">
        <v>17</v>
      </c>
      <c r="G306" cm="1">
        <f t="array" ref="G306">_xlfn.SWITCH(F306,"🟩 Superstar",5,"🟦 Star / All-Star",4,"🟨 Above-average starter",3,"⬛ Contributor / role player",2,"🟥 Bust",1,"⏳ Too early to tell","")</f>
        <v>1</v>
      </c>
    </row>
    <row r="307" spans="1:7" x14ac:dyDescent="0.2">
      <c r="A307" s="1">
        <v>2022</v>
      </c>
      <c r="B307" s="1">
        <v>28</v>
      </c>
      <c r="C307" s="2" t="s">
        <v>51</v>
      </c>
      <c r="D307" s="2" t="s">
        <v>449</v>
      </c>
      <c r="E307" s="2" t="s">
        <v>450</v>
      </c>
      <c r="F307" s="5" t="s">
        <v>17</v>
      </c>
      <c r="G307" cm="1">
        <f t="array" ref="G307">_xlfn.SWITCH(F307,"🟩 Superstar",5,"🟦 Star / All-Star",4,"🟨 Above-average starter",3,"⬛ Contributor / role player",2,"🟥 Bust",1,"⏳ Too early to tell","")</f>
        <v>1</v>
      </c>
    </row>
    <row r="308" spans="1:7" x14ac:dyDescent="0.2">
      <c r="A308" s="1">
        <v>2023</v>
      </c>
      <c r="B308" s="1">
        <v>28</v>
      </c>
      <c r="C308" s="2" t="s">
        <v>125</v>
      </c>
      <c r="D308" s="2" t="s">
        <v>451</v>
      </c>
      <c r="E308" s="2" t="s">
        <v>42</v>
      </c>
      <c r="F308" s="5" t="s">
        <v>17</v>
      </c>
      <c r="G308" cm="1">
        <f t="array" ref="G308">_xlfn.SWITCH(F308,"🟩 Superstar",5,"🟦 Star / All-Star",4,"🟨 Above-average starter",3,"⬛ Contributor / role player",2,"🟥 Bust",1,"⏳ Too early to tell","")</f>
        <v>1</v>
      </c>
    </row>
    <row r="309" spans="1:7" x14ac:dyDescent="0.2">
      <c r="A309" s="1">
        <v>2024</v>
      </c>
      <c r="B309" s="1">
        <v>28</v>
      </c>
      <c r="C309" s="2" t="s">
        <v>143</v>
      </c>
      <c r="D309" s="2" t="s">
        <v>452</v>
      </c>
      <c r="E309" s="2" t="s">
        <v>98</v>
      </c>
      <c r="F309" s="8" t="s">
        <v>37</v>
      </c>
      <c r="G309" t="str" cm="1">
        <f t="array" ref="G309">_xlfn.SWITCH(F309,"🟩 Superstar",5,"🟦 Star / All-Star",4,"🟨 Above-average starter",3,"⬛ Contributor / role player",2,"🟥 Bust",1,"⏳ Too early to tell","")</f>
        <v/>
      </c>
    </row>
    <row r="310" spans="1:7" x14ac:dyDescent="0.2">
      <c r="A310" s="1">
        <v>2025</v>
      </c>
      <c r="B310" s="1">
        <v>28</v>
      </c>
      <c r="C310" s="2" t="s">
        <v>69</v>
      </c>
      <c r="D310" s="2" t="s">
        <v>453</v>
      </c>
      <c r="E310" s="2" t="s">
        <v>267</v>
      </c>
      <c r="F310" s="8" t="s">
        <v>37</v>
      </c>
      <c r="G310" t="str" cm="1">
        <f t="array" ref="G310">_xlfn.SWITCH(F310,"🟩 Superstar",5,"🟦 Star / All-Star",4,"🟨 Above-average starter",3,"⬛ Contributor / role player",2,"🟥 Bust",1,"⏳ Too early to tell","")</f>
        <v/>
      </c>
    </row>
    <row r="311" spans="1:7" x14ac:dyDescent="0.2">
      <c r="A311" s="1">
        <v>2015</v>
      </c>
      <c r="B311" s="1">
        <v>29</v>
      </c>
      <c r="C311" s="2" t="s">
        <v>170</v>
      </c>
      <c r="D311" s="2" t="s">
        <v>454</v>
      </c>
      <c r="E311" s="2" t="s">
        <v>361</v>
      </c>
      <c r="F311" s="5" t="s">
        <v>17</v>
      </c>
      <c r="G311" cm="1">
        <f t="array" ref="G311">_xlfn.SWITCH(F311,"🟩 Superstar",5,"🟦 Star / All-Star",4,"🟨 Above-average starter",3,"⬛ Contributor / role player",2,"🟥 Bust",1,"⏳ Too early to tell","")</f>
        <v>1</v>
      </c>
    </row>
    <row r="312" spans="1:7" x14ac:dyDescent="0.2">
      <c r="A312" s="1">
        <v>2016</v>
      </c>
      <c r="B312" s="1">
        <v>29</v>
      </c>
      <c r="C312" s="2" t="s">
        <v>32</v>
      </c>
      <c r="D312" s="2" t="s">
        <v>455</v>
      </c>
      <c r="E312" s="2" t="s">
        <v>16</v>
      </c>
      <c r="F312" s="4" t="s">
        <v>14</v>
      </c>
      <c r="G312" cm="1">
        <f t="array" ref="G312">_xlfn.SWITCH(F312,"🟩 Superstar",5,"🟦 Star / All-Star",4,"🟨 Above-average starter",3,"⬛ Contributor / role player",2,"🟥 Bust",1,"⏳ Too early to tell","")</f>
        <v>4</v>
      </c>
    </row>
    <row r="313" spans="1:7" x14ac:dyDescent="0.2">
      <c r="A313" s="1">
        <v>2017</v>
      </c>
      <c r="B313" s="1">
        <v>29</v>
      </c>
      <c r="C313" s="2" t="s">
        <v>32</v>
      </c>
      <c r="D313" s="2" t="s">
        <v>456</v>
      </c>
      <c r="E313" s="2" t="s">
        <v>206</v>
      </c>
      <c r="F313" s="4" t="s">
        <v>14</v>
      </c>
      <c r="G313" cm="1">
        <f t="array" ref="G313">_xlfn.SWITCH(F313,"🟩 Superstar",5,"🟦 Star / All-Star",4,"🟨 Above-average starter",3,"⬛ Contributor / role player",2,"🟥 Bust",1,"⏳ Too early to tell","")</f>
        <v>4</v>
      </c>
    </row>
    <row r="314" spans="1:7" x14ac:dyDescent="0.2">
      <c r="A314" s="1">
        <v>2018</v>
      </c>
      <c r="B314" s="1">
        <v>29</v>
      </c>
      <c r="C314" s="2" t="s">
        <v>170</v>
      </c>
      <c r="D314" s="2" t="s">
        <v>457</v>
      </c>
      <c r="E314" s="2" t="s">
        <v>458</v>
      </c>
      <c r="F314" s="5" t="s">
        <v>17</v>
      </c>
      <c r="G314" cm="1">
        <f t="array" ref="G314">_xlfn.SWITCH(F314,"🟩 Superstar",5,"🟦 Star / All-Star",4,"🟨 Above-average starter",3,"⬛ Contributor / role player",2,"🟥 Bust",1,"⏳ Too early to tell","")</f>
        <v>1</v>
      </c>
    </row>
    <row r="315" spans="1:7" x14ac:dyDescent="0.2">
      <c r="A315" s="1">
        <v>2019</v>
      </c>
      <c r="B315" s="1">
        <v>29</v>
      </c>
      <c r="C315" s="2" t="s">
        <v>32</v>
      </c>
      <c r="D315" s="2" t="s">
        <v>459</v>
      </c>
      <c r="E315" s="2" t="s">
        <v>9</v>
      </c>
      <c r="F315" s="7" t="s">
        <v>21</v>
      </c>
      <c r="G315" cm="1">
        <f t="array" ref="G315">_xlfn.SWITCH(F315,"🟩 Superstar",5,"🟦 Star / All-Star",4,"🟨 Above-average starter",3,"⬛ Contributor / role player",2,"🟥 Bust",1,"⏳ Too early to tell","")</f>
        <v>3</v>
      </c>
    </row>
    <row r="316" spans="1:7" x14ac:dyDescent="0.2">
      <c r="A316" s="1">
        <v>2020</v>
      </c>
      <c r="B316" s="1">
        <v>29</v>
      </c>
      <c r="C316" s="2" t="s">
        <v>102</v>
      </c>
      <c r="D316" s="2" t="s">
        <v>460</v>
      </c>
      <c r="E316" s="2" t="s">
        <v>461</v>
      </c>
      <c r="F316" s="5" t="s">
        <v>17</v>
      </c>
      <c r="G316" cm="1">
        <f t="array" ref="G316">_xlfn.SWITCH(F316,"🟩 Superstar",5,"🟦 Star / All-Star",4,"🟨 Above-average starter",3,"⬛ Contributor / role player",2,"🟥 Bust",1,"⏳ Too early to tell","")</f>
        <v>1</v>
      </c>
    </row>
    <row r="317" spans="1:7" x14ac:dyDescent="0.2">
      <c r="A317" s="1">
        <v>2021</v>
      </c>
      <c r="B317" s="1">
        <v>29</v>
      </c>
      <c r="C317" s="2" t="s">
        <v>18</v>
      </c>
      <c r="D317" s="2" t="s">
        <v>462</v>
      </c>
      <c r="E317" s="2" t="s">
        <v>150</v>
      </c>
      <c r="F317" s="6" t="s">
        <v>63</v>
      </c>
      <c r="G317" cm="1">
        <f t="array" ref="G317">_xlfn.SWITCH(F317,"🟩 Superstar",5,"🟦 Star / All-Star",4,"🟨 Above-average starter",3,"⬛ Contributor / role player",2,"🟥 Bust",1,"⏳ Too early to tell","")</f>
        <v>2</v>
      </c>
    </row>
    <row r="318" spans="1:7" x14ac:dyDescent="0.2">
      <c r="A318" s="1">
        <v>2022</v>
      </c>
      <c r="B318" s="1">
        <v>29</v>
      </c>
      <c r="C318" s="2" t="s">
        <v>48</v>
      </c>
      <c r="D318" s="2" t="s">
        <v>463</v>
      </c>
      <c r="E318" s="2" t="s">
        <v>9</v>
      </c>
      <c r="F318" s="5" t="s">
        <v>17</v>
      </c>
      <c r="G318" cm="1">
        <f t="array" ref="G318">_xlfn.SWITCH(F318,"🟩 Superstar",5,"🟦 Star / All-Star",4,"🟨 Above-average starter",3,"⬛ Contributor / role player",2,"🟥 Bust",1,"⏳ Too early to tell","")</f>
        <v>1</v>
      </c>
    </row>
    <row r="319" spans="1:7" x14ac:dyDescent="0.2">
      <c r="A319" s="1">
        <v>2023</v>
      </c>
      <c r="B319" s="1">
        <v>29</v>
      </c>
      <c r="C319" s="2" t="s">
        <v>137</v>
      </c>
      <c r="D319" s="2" t="s">
        <v>464</v>
      </c>
      <c r="E319" s="2" t="s">
        <v>59</v>
      </c>
      <c r="F319" s="6" t="s">
        <v>63</v>
      </c>
      <c r="G319" cm="1">
        <f t="array" ref="G319">_xlfn.SWITCH(F319,"🟩 Superstar",5,"🟦 Star / All-Star",4,"🟨 Above-average starter",3,"⬛ Contributor / role player",2,"🟥 Bust",1,"⏳ Too early to tell","")</f>
        <v>2</v>
      </c>
    </row>
    <row r="320" spans="1:7" x14ac:dyDescent="0.2">
      <c r="A320" s="1">
        <v>2024</v>
      </c>
      <c r="B320" s="1">
        <v>29</v>
      </c>
      <c r="C320" s="2" t="s">
        <v>125</v>
      </c>
      <c r="D320" s="2" t="s">
        <v>465</v>
      </c>
      <c r="E320" s="2" t="s">
        <v>81</v>
      </c>
      <c r="F320" s="8" t="s">
        <v>37</v>
      </c>
      <c r="G320" t="str" cm="1">
        <f t="array" ref="G320">_xlfn.SWITCH(F320,"🟩 Superstar",5,"🟦 Star / All-Star",4,"🟨 Above-average starter",3,"⬛ Contributor / role player",2,"🟥 Bust",1,"⏳ Too early to tell","")</f>
        <v/>
      </c>
    </row>
    <row r="321" spans="1:7" x14ac:dyDescent="0.2">
      <c r="A321" s="1">
        <v>2025</v>
      </c>
      <c r="B321" s="1">
        <v>29</v>
      </c>
      <c r="C321" s="2" t="s">
        <v>18</v>
      </c>
      <c r="D321" s="2" t="s">
        <v>466</v>
      </c>
      <c r="E321" s="2" t="s">
        <v>109</v>
      </c>
      <c r="F321" s="8" t="s">
        <v>37</v>
      </c>
      <c r="G321" t="str" cm="1">
        <f t="array" ref="G321">_xlfn.SWITCH(F321,"🟩 Superstar",5,"🟦 Star / All-Star",4,"🟨 Above-average starter",3,"⬛ Contributor / role player",2,"🟥 Bust",1,"⏳ Too early to tell","")</f>
        <v/>
      </c>
    </row>
    <row r="322" spans="1:7" x14ac:dyDescent="0.2">
      <c r="A322" s="1">
        <v>2015</v>
      </c>
      <c r="B322" s="1">
        <v>30</v>
      </c>
      <c r="C322" s="2" t="s">
        <v>51</v>
      </c>
      <c r="D322" s="2" t="s">
        <v>467</v>
      </c>
      <c r="E322" s="2" t="s">
        <v>45</v>
      </c>
      <c r="F322" s="6" t="s">
        <v>63</v>
      </c>
      <c r="G322" cm="1">
        <f t="array" ref="G322">_xlfn.SWITCH(F322,"🟩 Superstar",5,"🟦 Star / All-Star",4,"🟨 Above-average starter",3,"⬛ Contributor / role player",2,"🟥 Bust",1,"⏳ Too early to tell","")</f>
        <v>2</v>
      </c>
    </row>
    <row r="323" spans="1:7" x14ac:dyDescent="0.2">
      <c r="A323" s="1">
        <v>2016</v>
      </c>
      <c r="B323" s="1">
        <v>30</v>
      </c>
      <c r="C323" s="2" t="s">
        <v>51</v>
      </c>
      <c r="D323" s="2" t="s">
        <v>468</v>
      </c>
      <c r="E323" s="2" t="s">
        <v>118</v>
      </c>
      <c r="F323" s="6" t="s">
        <v>63</v>
      </c>
      <c r="G323" cm="1">
        <f t="array" ref="G323">_xlfn.SWITCH(F323,"🟩 Superstar",5,"🟦 Star / All-Star",4,"🟨 Above-average starter",3,"⬛ Contributor / role player",2,"🟥 Bust",1,"⏳ Too early to tell","")</f>
        <v>2</v>
      </c>
    </row>
    <row r="324" spans="1:7" x14ac:dyDescent="0.2">
      <c r="A324" s="1">
        <v>2017</v>
      </c>
      <c r="B324" s="1">
        <v>30</v>
      </c>
      <c r="C324" s="2" t="s">
        <v>125</v>
      </c>
      <c r="D324" s="2" t="s">
        <v>469</v>
      </c>
      <c r="E324" s="2" t="s">
        <v>197</v>
      </c>
      <c r="F324" s="7" t="s">
        <v>21</v>
      </c>
      <c r="G324" cm="1">
        <f t="array" ref="G324">_xlfn.SWITCH(F324,"🟩 Superstar",5,"🟦 Star / All-Star",4,"🟨 Above-average starter",3,"⬛ Contributor / role player",2,"🟥 Bust",1,"⏳ Too early to tell","")</f>
        <v>3</v>
      </c>
    </row>
    <row r="325" spans="1:7" x14ac:dyDescent="0.2">
      <c r="A325" s="1">
        <v>2018</v>
      </c>
      <c r="B325" s="1">
        <v>30</v>
      </c>
      <c r="C325" s="2" t="s">
        <v>35</v>
      </c>
      <c r="D325" s="2" t="s">
        <v>470</v>
      </c>
      <c r="E325" s="2" t="s">
        <v>197</v>
      </c>
      <c r="F325" s="5" t="s">
        <v>17</v>
      </c>
      <c r="G325" cm="1">
        <f t="array" ref="G325">_xlfn.SWITCH(F325,"🟩 Superstar",5,"🟦 Star / All-Star",4,"🟨 Above-average starter",3,"⬛ Contributor / role player",2,"🟥 Bust",1,"⏳ Too early to tell","")</f>
        <v>1</v>
      </c>
    </row>
    <row r="326" spans="1:7" x14ac:dyDescent="0.2">
      <c r="A326" s="1">
        <v>2019</v>
      </c>
      <c r="B326" s="1">
        <v>30</v>
      </c>
      <c r="C326" s="2" t="s">
        <v>192</v>
      </c>
      <c r="D326" s="2" t="s">
        <v>471</v>
      </c>
      <c r="E326" s="2" t="s">
        <v>81</v>
      </c>
      <c r="F326" s="6" t="s">
        <v>63</v>
      </c>
      <c r="G326" cm="1">
        <f t="array" ref="G326">_xlfn.SWITCH(F326,"🟩 Superstar",5,"🟦 Star / All-Star",4,"🟨 Above-average starter",3,"⬛ Contributor / role player",2,"🟥 Bust",1,"⏳ Too early to tell","")</f>
        <v>2</v>
      </c>
    </row>
    <row r="327" spans="1:7" x14ac:dyDescent="0.2">
      <c r="A327" s="1">
        <v>2020</v>
      </c>
      <c r="B327" s="1">
        <v>30</v>
      </c>
      <c r="C327" s="2" t="s">
        <v>69</v>
      </c>
      <c r="D327" s="2" t="s">
        <v>472</v>
      </c>
      <c r="E327" s="2" t="s">
        <v>473</v>
      </c>
      <c r="F327" s="4" t="s">
        <v>14</v>
      </c>
      <c r="G327" cm="1">
        <f t="array" ref="G327">_xlfn.SWITCH(F327,"🟩 Superstar",5,"🟦 Star / All-Star",4,"🟨 Above-average starter",3,"⬛ Contributor / role player",2,"🟥 Bust",1,"⏳ Too early to tell","")</f>
        <v>4</v>
      </c>
    </row>
    <row r="328" spans="1:7" x14ac:dyDescent="0.2">
      <c r="A328" s="1">
        <v>2021</v>
      </c>
      <c r="B328" s="1">
        <v>30</v>
      </c>
      <c r="C328" s="2" t="s">
        <v>125</v>
      </c>
      <c r="D328" s="2" t="s">
        <v>474</v>
      </c>
      <c r="E328" s="2" t="s">
        <v>475</v>
      </c>
      <c r="F328" s="6" t="s">
        <v>63</v>
      </c>
      <c r="G328" cm="1">
        <f t="array" ref="G328">_xlfn.SWITCH(F328,"🟩 Superstar",5,"🟦 Star / All-Star",4,"🟨 Above-average starter",3,"⬛ Contributor / role player",2,"🟥 Bust",1,"⏳ Too early to tell","")</f>
        <v>2</v>
      </c>
    </row>
    <row r="329" spans="1:7" x14ac:dyDescent="0.2">
      <c r="A329" s="1">
        <v>2022</v>
      </c>
      <c r="B329" s="1">
        <v>30</v>
      </c>
      <c r="C329" s="2" t="s">
        <v>57</v>
      </c>
      <c r="D329" s="2" t="s">
        <v>476</v>
      </c>
      <c r="E329" s="2" t="s">
        <v>45</v>
      </c>
      <c r="F329" s="7" t="s">
        <v>21</v>
      </c>
      <c r="G329" cm="1">
        <f t="array" ref="G329">_xlfn.SWITCH(F329,"🟩 Superstar",5,"🟦 Star / All-Star",4,"🟨 Above-average starter",3,"⬛ Contributor / role player",2,"🟥 Bust",1,"⏳ Too early to tell","")</f>
        <v>3</v>
      </c>
    </row>
    <row r="330" spans="1:7" x14ac:dyDescent="0.2">
      <c r="A330" s="1">
        <v>2023</v>
      </c>
      <c r="B330" s="1">
        <v>30</v>
      </c>
      <c r="C330" s="2" t="s">
        <v>224</v>
      </c>
      <c r="D330" s="2" t="s">
        <v>477</v>
      </c>
      <c r="E330" s="2" t="s">
        <v>255</v>
      </c>
      <c r="F330" s="5" t="s">
        <v>17</v>
      </c>
      <c r="G330" cm="1">
        <f t="array" ref="G330">_xlfn.SWITCH(F330,"🟩 Superstar",5,"🟦 Star / All-Star",4,"🟨 Above-average starter",3,"⬛ Contributor / role player",2,"🟥 Bust",1,"⏳ Too early to tell","")</f>
        <v>1</v>
      </c>
    </row>
    <row r="331" spans="1:7" x14ac:dyDescent="0.2">
      <c r="A331" s="1">
        <v>2024</v>
      </c>
      <c r="B331" s="1">
        <v>30</v>
      </c>
      <c r="C331" s="2" t="s">
        <v>69</v>
      </c>
      <c r="D331" s="2" t="s">
        <v>478</v>
      </c>
      <c r="E331" s="2" t="s">
        <v>281</v>
      </c>
      <c r="F331" s="8" t="s">
        <v>37</v>
      </c>
      <c r="G331" t="str" cm="1">
        <f t="array" ref="G331">_xlfn.SWITCH(F331,"🟩 Superstar",5,"🟦 Star / All-Star",4,"🟨 Above-average starter",3,"⬛ Contributor / role player",2,"🟥 Bust",1,"⏳ Too early to tell","")</f>
        <v/>
      </c>
    </row>
    <row r="332" spans="1:7" x14ac:dyDescent="0.2">
      <c r="A332" s="1">
        <v>2025</v>
      </c>
      <c r="B332" s="1">
        <v>30</v>
      </c>
      <c r="C332" s="2" t="s">
        <v>224</v>
      </c>
      <c r="D332" s="2" t="s">
        <v>479</v>
      </c>
      <c r="E332" s="2" t="s">
        <v>480</v>
      </c>
      <c r="F332" s="8" t="s">
        <v>37</v>
      </c>
      <c r="G332" t="str" cm="1">
        <f t="array" ref="G332">_xlfn.SWITCH(F332,"🟩 Superstar",5,"🟦 Star / All-Star",4,"🟨 Above-average starter",3,"⬛ Contributor / role player",2,"🟥 Bust",1,"⏳ Too early to tell","")</f>
        <v/>
      </c>
    </row>
  </sheetData>
  <mergeCells count="8">
    <mergeCell ref="Q1:R2"/>
    <mergeCell ref="S1:T2"/>
    <mergeCell ref="U1:V2"/>
    <mergeCell ref="A1:G1"/>
    <mergeCell ref="I1:J2"/>
    <mergeCell ref="K1:L2"/>
    <mergeCell ref="M1:N2"/>
    <mergeCell ref="O1:P2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A86A-7281-234B-AD1F-EDFC9B38577F}">
  <dimension ref="A1:L38"/>
  <sheetViews>
    <sheetView tabSelected="1" topLeftCell="M3" zoomScale="87" zoomScaleNormal="100" workbookViewId="0">
      <selection activeCell="C9" sqref="C9"/>
    </sheetView>
  </sheetViews>
  <sheetFormatPr baseColWidth="10" defaultColWidth="11.5" defaultRowHeight="15" x14ac:dyDescent="0.2"/>
  <cols>
    <col min="10" max="10" width="21.5" customWidth="1"/>
  </cols>
  <sheetData>
    <row r="1" spans="1:12" x14ac:dyDescent="0.2">
      <c r="B1" t="s">
        <v>512</v>
      </c>
      <c r="C1" t="s">
        <v>516</v>
      </c>
      <c r="D1" t="s">
        <v>548</v>
      </c>
      <c r="E1" t="s">
        <v>549</v>
      </c>
      <c r="F1" t="s">
        <v>550</v>
      </c>
      <c r="K1" t="s">
        <v>512</v>
      </c>
      <c r="L1" t="s">
        <v>517</v>
      </c>
    </row>
    <row r="2" spans="1:12" x14ac:dyDescent="0.2">
      <c r="A2" t="s">
        <v>504</v>
      </c>
      <c r="B2">
        <f>'Stat Analysis'!L4</f>
        <v>3.2444444444444445</v>
      </c>
      <c r="C2">
        <f>'Stat Analysis'!L8*100</f>
        <v>7.9096889952152996</v>
      </c>
      <c r="D2" s="15">
        <f>COUNTIF('Stat Analysis'!G3:G57,"&gt;4")/45</f>
        <v>0.15555555555555556</v>
      </c>
      <c r="E2" s="15">
        <f>COUNTIFS('Stat Analysis'!G3:G57,"&gt;3",'Stat Analysis'!G3:G57,"&lt;5")/45</f>
        <v>0.35555555555555557</v>
      </c>
      <c r="F2" s="15">
        <f>COUNTIF('Stat Analysis'!G3:G57,"&gt;3")/45</f>
        <v>0.51111111111111107</v>
      </c>
      <c r="J2" t="s">
        <v>518</v>
      </c>
      <c r="K2">
        <f>'Stat Analysis'!K12</f>
        <v>4</v>
      </c>
      <c r="L2">
        <f>'Stat Analysis'!N12</f>
        <v>5</v>
      </c>
    </row>
    <row r="3" spans="1:12" x14ac:dyDescent="0.2">
      <c r="A3" t="s">
        <v>505</v>
      </c>
      <c r="B3">
        <f>'Stat Analysis'!N4</f>
        <v>2.2000000000000002</v>
      </c>
      <c r="C3">
        <f>'Stat Analysis'!N8*100</f>
        <v>3.7037037037037051</v>
      </c>
      <c r="D3" s="15">
        <f>COUNTIF('Stat Analysis'!G58:G112,"&gt;4")/45</f>
        <v>0</v>
      </c>
      <c r="E3" s="15">
        <f>COUNTIFS('Stat Analysis'!G58:G112,"&gt;3",'Stat Analysis'!G58:G112,"&lt;5")/45</f>
        <v>0.1111111111111111</v>
      </c>
      <c r="F3" s="15">
        <f>COUNTIF('Stat Analysis'!G58:G112,"&gt;3")/45</f>
        <v>0.1111111111111111</v>
      </c>
      <c r="J3" t="s">
        <v>519</v>
      </c>
      <c r="K3">
        <f>'Stat Analysis'!K13</f>
        <v>3</v>
      </c>
      <c r="L3">
        <f>'Stat Analysis'!N13</f>
        <v>4</v>
      </c>
    </row>
    <row r="4" spans="1:12" x14ac:dyDescent="0.2">
      <c r="A4" t="s">
        <v>506</v>
      </c>
      <c r="B4">
        <f>'Stat Analysis'!P4</f>
        <v>2.3777777777777778</v>
      </c>
      <c r="C4">
        <f>'Stat Analysis'!P8*100</f>
        <v>8.0985915492957741</v>
      </c>
      <c r="D4" s="15">
        <f>COUNTIF('Stat Analysis'!G113:G167,"&gt;4")/45</f>
        <v>8.8888888888888892E-2</v>
      </c>
      <c r="E4" s="15">
        <f>COUNTIFS('Stat Analysis'!G113:G167,"&gt;3",'Stat Analysis'!G113:G167,"&lt;5")/45</f>
        <v>0.1111111111111111</v>
      </c>
      <c r="F4" s="15">
        <f>COUNTIF('Stat Analysis'!G113:G167,"&gt;3")/45</f>
        <v>0.2</v>
      </c>
      <c r="J4" t="s">
        <v>520</v>
      </c>
      <c r="K4">
        <f>'Stat Analysis'!K14</f>
        <v>3.5555555555555554</v>
      </c>
      <c r="L4">
        <f>'Stat Analysis'!N14</f>
        <v>5</v>
      </c>
    </row>
    <row r="5" spans="1:12" x14ac:dyDescent="0.2">
      <c r="A5" t="s">
        <v>507</v>
      </c>
      <c r="B5">
        <f>'Stat Analysis'!R4</f>
        <v>1.9787234042553192</v>
      </c>
      <c r="C5">
        <f>'Stat Analysis'!R8*100</f>
        <v>2.3715631933392461E-2</v>
      </c>
      <c r="D5" s="15">
        <f>COUNTIF('Stat Analysis'!G168:G222,"&gt;4")/47</f>
        <v>0</v>
      </c>
      <c r="E5" s="15">
        <f>COUNTIFS('Stat Analysis'!G168:G222,"&gt;3",'Stat Analysis'!G168:G222,"&lt;5")/47</f>
        <v>6.3829787234042548E-2</v>
      </c>
      <c r="F5" s="15">
        <f>COUNTIF('Stat Analysis'!G168:G222,"&gt;3")/47</f>
        <v>6.3829787234042548E-2</v>
      </c>
      <c r="J5" t="s">
        <v>521</v>
      </c>
      <c r="K5">
        <f>'Stat Analysis'!K15</f>
        <v>2.8888888888888888</v>
      </c>
      <c r="L5">
        <f>'Stat Analysis'!N15</f>
        <v>4</v>
      </c>
    </row>
    <row r="6" spans="1:12" x14ac:dyDescent="0.2">
      <c r="A6" t="s">
        <v>508</v>
      </c>
      <c r="B6">
        <f>'Stat Analysis'!T4</f>
        <v>1.8043478260869565</v>
      </c>
      <c r="C6">
        <f>'Stat Analysis'!T8*100</f>
        <v>2.6490113371420438</v>
      </c>
      <c r="D6" s="15">
        <f>COUNTIF('Stat Analysis'!G223:G277,"&gt;4")/46</f>
        <v>2.1739130434782608E-2</v>
      </c>
      <c r="E6" s="15">
        <f>COUNTIFS('Stat Analysis'!G223:G277,"&gt;3",'Stat Analysis'!G223:G277,"&lt;5")/46</f>
        <v>4.3478260869565216E-2</v>
      </c>
      <c r="F6" s="15">
        <f>COUNTIF('Stat Analysis'!G223:G277,"&gt;3")/46</f>
        <v>6.5217391304347824E-2</v>
      </c>
      <c r="J6" t="s">
        <v>522</v>
      </c>
      <c r="K6">
        <f>'Stat Analysis'!K16</f>
        <v>2.7777777777777777</v>
      </c>
      <c r="L6">
        <f>'Stat Analysis'!N16</f>
        <v>2</v>
      </c>
    </row>
    <row r="7" spans="1:12" x14ac:dyDescent="0.2">
      <c r="A7" t="s">
        <v>509</v>
      </c>
      <c r="B7">
        <f>'Stat Analysis'!V4</f>
        <v>1.9347826086956521</v>
      </c>
      <c r="C7">
        <f>'Stat Analysis'!V8*100</f>
        <v>2.8078782324294158</v>
      </c>
      <c r="D7" s="15">
        <f>COUNTIF('Stat Analysis'!G278:G332,"&gt;4")/46</f>
        <v>0</v>
      </c>
      <c r="E7" s="15">
        <f>COUNTIFS('Stat Analysis'!G278:G332,"&gt;3",'Stat Analysis'!G278:G332,"&lt;5")/46</f>
        <v>8.6956521739130432E-2</v>
      </c>
      <c r="F7" s="15">
        <f>COUNTIF('Stat Analysis'!G278:G332,"&gt;3")/46</f>
        <v>8.6956521739130432E-2</v>
      </c>
      <c r="J7" t="s">
        <v>523</v>
      </c>
      <c r="K7">
        <f>'Stat Analysis'!K17</f>
        <v>2.3333333333333335</v>
      </c>
      <c r="L7">
        <f>'Stat Analysis'!N17</f>
        <v>3</v>
      </c>
    </row>
    <row r="8" spans="1:12" x14ac:dyDescent="0.2">
      <c r="J8" t="s">
        <v>524</v>
      </c>
      <c r="K8">
        <f>'Stat Analysis'!K18</f>
        <v>2.5555555555555554</v>
      </c>
      <c r="L8">
        <f>'Stat Analysis'!N18</f>
        <v>3</v>
      </c>
    </row>
    <row r="9" spans="1:12" x14ac:dyDescent="0.2">
      <c r="J9" t="s">
        <v>525</v>
      </c>
      <c r="K9">
        <f>'Stat Analysis'!K19</f>
        <v>2.1111111111111112</v>
      </c>
      <c r="L9">
        <f>'Stat Analysis'!N19</f>
        <v>1</v>
      </c>
    </row>
    <row r="10" spans="1:12" x14ac:dyDescent="0.2">
      <c r="J10" t="s">
        <v>526</v>
      </c>
      <c r="K10">
        <f>'Stat Analysis'!K20</f>
        <v>2.1111111111111112</v>
      </c>
      <c r="L10">
        <f>'Stat Analysis'!N20</f>
        <v>2</v>
      </c>
    </row>
    <row r="11" spans="1:12" x14ac:dyDescent="0.2">
      <c r="J11" t="s">
        <v>527</v>
      </c>
      <c r="K11">
        <f>'Stat Analysis'!K21</f>
        <v>1.8888888888888888</v>
      </c>
      <c r="L11">
        <f>'Stat Analysis'!N21</f>
        <v>1</v>
      </c>
    </row>
    <row r="12" spans="1:12" x14ac:dyDescent="0.2">
      <c r="J12" t="s">
        <v>528</v>
      </c>
      <c r="K12">
        <f>'Stat Analysis'!K22</f>
        <v>2.6666666666666665</v>
      </c>
      <c r="L12">
        <f>'Stat Analysis'!N22</f>
        <v>3</v>
      </c>
    </row>
    <row r="13" spans="1:12" x14ac:dyDescent="0.2">
      <c r="J13" t="s">
        <v>529</v>
      </c>
      <c r="K13">
        <f>'Stat Analysis'!K23</f>
        <v>2.7777777777777777</v>
      </c>
      <c r="L13">
        <f>'Stat Analysis'!N23</f>
        <v>2</v>
      </c>
    </row>
    <row r="14" spans="1:12" x14ac:dyDescent="0.2">
      <c r="J14" t="s">
        <v>530</v>
      </c>
      <c r="K14">
        <f>'Stat Analysis'!K24</f>
        <v>2.6666666666666665</v>
      </c>
      <c r="L14">
        <f>'Stat Analysis'!N24</f>
        <v>1</v>
      </c>
    </row>
    <row r="15" spans="1:12" x14ac:dyDescent="0.2">
      <c r="J15" t="s">
        <v>531</v>
      </c>
      <c r="K15">
        <f>'Stat Analysis'!K25</f>
        <v>2</v>
      </c>
      <c r="L15">
        <f>'Stat Analysis'!N25</f>
        <v>2</v>
      </c>
    </row>
    <row r="16" spans="1:12" x14ac:dyDescent="0.2">
      <c r="J16" t="s">
        <v>532</v>
      </c>
      <c r="K16">
        <f>'Stat Analysis'!K26</f>
        <v>1.7777777777777777</v>
      </c>
      <c r="L16">
        <f>'Stat Analysis'!N26</f>
        <v>1</v>
      </c>
    </row>
    <row r="17" spans="10:12" x14ac:dyDescent="0.2">
      <c r="J17" t="s">
        <v>533</v>
      </c>
      <c r="K17">
        <f>'Stat Analysis'!K27</f>
        <v>2.2000000000000002</v>
      </c>
      <c r="L17">
        <f>'Stat Analysis'!N27</f>
        <v>3</v>
      </c>
    </row>
    <row r="18" spans="10:12" x14ac:dyDescent="0.2">
      <c r="J18" t="s">
        <v>534</v>
      </c>
      <c r="K18">
        <f>'Stat Analysis'!K28</f>
        <v>1.8</v>
      </c>
      <c r="L18">
        <f>'Stat Analysis'!N28</f>
        <v>1</v>
      </c>
    </row>
    <row r="19" spans="10:12" x14ac:dyDescent="0.2">
      <c r="J19" t="s">
        <v>535</v>
      </c>
      <c r="K19">
        <f>'Stat Analysis'!K29</f>
        <v>1.6666666666666667</v>
      </c>
      <c r="L19">
        <f>'Stat Analysis'!N29</f>
        <v>2</v>
      </c>
    </row>
    <row r="20" spans="10:12" x14ac:dyDescent="0.2">
      <c r="J20" t="s">
        <v>536</v>
      </c>
      <c r="K20">
        <f>'Stat Analysis'!K30</f>
        <v>2.1111111111111112</v>
      </c>
      <c r="L20">
        <f>'Stat Analysis'!N30</f>
        <v>3</v>
      </c>
    </row>
    <row r="21" spans="10:12" x14ac:dyDescent="0.2">
      <c r="J21" t="s">
        <v>537</v>
      </c>
      <c r="K21">
        <f>'Stat Analysis'!K31</f>
        <v>2.1111111111111112</v>
      </c>
      <c r="L21">
        <f>'Stat Analysis'!N31</f>
        <v>2</v>
      </c>
    </row>
    <row r="22" spans="10:12" x14ac:dyDescent="0.2">
      <c r="J22" t="s">
        <v>538</v>
      </c>
      <c r="K22">
        <f>'Stat Analysis'!K32</f>
        <v>2.1111111111111112</v>
      </c>
      <c r="L22">
        <f>'Stat Analysis'!N32</f>
        <v>2</v>
      </c>
    </row>
    <row r="23" spans="10:12" x14ac:dyDescent="0.2">
      <c r="J23" t="s">
        <v>539</v>
      </c>
      <c r="K23">
        <f>'Stat Analysis'!K33</f>
        <v>2</v>
      </c>
      <c r="L23">
        <f>'Stat Analysis'!N33</f>
        <v>1</v>
      </c>
    </row>
    <row r="24" spans="10:12" x14ac:dyDescent="0.2">
      <c r="J24" t="s">
        <v>540</v>
      </c>
      <c r="K24">
        <f>'Stat Analysis'!K34</f>
        <v>1.5555555555555556</v>
      </c>
      <c r="L24">
        <f>'Stat Analysis'!N34</f>
        <v>1</v>
      </c>
    </row>
    <row r="25" spans="10:12" x14ac:dyDescent="0.2">
      <c r="J25" t="s">
        <v>541</v>
      </c>
      <c r="K25">
        <f>'Stat Analysis'!K35</f>
        <v>1.6666666666666667</v>
      </c>
      <c r="L25">
        <f>'Stat Analysis'!N35</f>
        <v>1</v>
      </c>
    </row>
    <row r="26" spans="10:12" x14ac:dyDescent="0.2">
      <c r="J26" t="s">
        <v>542</v>
      </c>
      <c r="K26">
        <f>'Stat Analysis'!K36</f>
        <v>1.7</v>
      </c>
      <c r="L26">
        <f>'Stat Analysis'!N36</f>
        <v>1</v>
      </c>
    </row>
    <row r="27" spans="10:12" x14ac:dyDescent="0.2">
      <c r="J27" t="s">
        <v>543</v>
      </c>
      <c r="K27">
        <f>'Stat Analysis'!K37</f>
        <v>1.6</v>
      </c>
      <c r="L27">
        <f>'Stat Analysis'!N37</f>
        <v>1</v>
      </c>
    </row>
    <row r="28" spans="10:12" x14ac:dyDescent="0.2">
      <c r="J28" t="s">
        <v>544</v>
      </c>
      <c r="K28">
        <f>'Stat Analysis'!K38</f>
        <v>2.2222222222222223</v>
      </c>
      <c r="L28">
        <f>'Stat Analysis'!N38</f>
        <v>3</v>
      </c>
    </row>
    <row r="29" spans="10:12" x14ac:dyDescent="0.2">
      <c r="J29" t="s">
        <v>545</v>
      </c>
      <c r="K29">
        <f>'Stat Analysis'!K39</f>
        <v>1.5555555555555556</v>
      </c>
      <c r="L29">
        <f>'Stat Analysis'!N39</f>
        <v>1</v>
      </c>
    </row>
    <row r="30" spans="10:12" x14ac:dyDescent="0.2">
      <c r="J30" t="s">
        <v>546</v>
      </c>
      <c r="K30">
        <f>'Stat Analysis'!K40</f>
        <v>2.1111111111111112</v>
      </c>
      <c r="L30">
        <f>'Stat Analysis'!N40</f>
        <v>1</v>
      </c>
    </row>
    <row r="31" spans="10:12" x14ac:dyDescent="0.2">
      <c r="J31" t="s">
        <v>547</v>
      </c>
      <c r="K31">
        <f>'Stat Analysis'!K41</f>
        <v>2.2222222222222223</v>
      </c>
      <c r="L31">
        <f>'Stat Analysis'!N41</f>
        <v>2</v>
      </c>
    </row>
    <row r="33" spans="10:11" x14ac:dyDescent="0.2">
      <c r="J33" t="s">
        <v>551</v>
      </c>
      <c r="K33" t="s">
        <v>552</v>
      </c>
    </row>
    <row r="34" spans="10:11" x14ac:dyDescent="0.2">
      <c r="J34" t="str">
        <f>'Stat Analysis'!F3</f>
        <v>🟩 Superstar</v>
      </c>
      <c r="K34" s="15">
        <f>COUNTIF('Stat Analysis'!F3:F332,'Stat Analysis'!F3)/271</f>
        <v>4.4280442804428041E-2</v>
      </c>
    </row>
    <row r="35" spans="10:11" x14ac:dyDescent="0.2">
      <c r="J35" t="str">
        <f>'Stat Analysis'!F4</f>
        <v>🟦 Star / All-Star</v>
      </c>
      <c r="K35" s="15">
        <f>COUNTIF('Stat Analysis'!F3:F332,'Stat Analysis'!F4)/271</f>
        <v>0.12915129151291513</v>
      </c>
    </row>
    <row r="36" spans="10:11" x14ac:dyDescent="0.2">
      <c r="J36" t="str">
        <f>'Stat Analysis'!F6</f>
        <v>🟨 Above-average starter</v>
      </c>
      <c r="K36" s="15">
        <f>COUNTIF('Stat Analysis'!F5:F334,'Stat Analysis'!F6)/271</f>
        <v>0.21033210332103322</v>
      </c>
    </row>
    <row r="37" spans="10:11" x14ac:dyDescent="0.2">
      <c r="J37" t="str">
        <f>'Stat Analysis'!F33</f>
        <v>⬛ Contributor / role player</v>
      </c>
      <c r="K37" s="15">
        <f>COUNTIF('Stat Analysis'!F3:F332,'Stat Analysis'!F33)/271</f>
        <v>0.28044280442804426</v>
      </c>
    </row>
    <row r="38" spans="10:11" x14ac:dyDescent="0.2">
      <c r="J38" t="str">
        <f>'Stat Analysis'!F5</f>
        <v>🟥 Bust</v>
      </c>
      <c r="K38" s="15">
        <f>COUNTIF('Stat Analysis'!F3:F332,'Stat Analysis'!F5)/271</f>
        <v>0.34686346863468637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 Picks 2015-2025</vt:lpstr>
      <vt:lpstr>Legend</vt:lpstr>
      <vt:lpstr>Stat Analysis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 Mizhiritsky</cp:lastModifiedBy>
  <cp:revision/>
  <dcterms:created xsi:type="dcterms:W3CDTF">2026-08-05T04:19:38Z</dcterms:created>
  <dcterms:modified xsi:type="dcterms:W3CDTF">2026-08-17T23:49:44Z</dcterms:modified>
  <cp:category/>
  <cp:contentStatus/>
</cp:coreProperties>
</file>